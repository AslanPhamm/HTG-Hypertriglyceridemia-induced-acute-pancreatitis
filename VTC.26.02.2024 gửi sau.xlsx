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S final\Số liệu gửi Thầy Quang\"/>
    </mc:Choice>
  </mc:AlternateContent>
  <xr:revisionPtr revIDLastSave="0" documentId="13_ncr:1_{FAF7F02D-3173-491D-82C0-1F266B8EC030}" xr6:coauthVersionLast="47" xr6:coauthVersionMax="47" xr10:uidLastSave="{00000000-0000-0000-0000-000000000000}"/>
  <bookViews>
    <workbookView xWindow="-110" yWindow="-110" windowWidth="19420" windowHeight="10300" xr2:uid="{66609DD8-7FE0-4B2D-9300-D1759979D851}"/>
  </bookViews>
  <sheets>
    <sheet name="SPSS2 &gt;= 8" sheetId="4" r:id="rId1"/>
  </sheets>
  <definedNames>
    <definedName name="_xlnm._FilterDatabase" localSheetId="0" hidden="1">'SPSS2 &gt;= 8'!$A$1:$GK$1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79" i="4" l="1"/>
  <c r="GG79" i="4"/>
  <c r="GF79" i="4" s="1"/>
  <c r="EY79" i="4"/>
  <c r="ER79" i="4"/>
  <c r="EQ79" i="4"/>
  <c r="EP79" i="4"/>
  <c r="EI79" i="4"/>
  <c r="EJ79" i="4" s="1"/>
  <c r="CU79" i="4"/>
  <c r="CF79" i="4"/>
  <c r="BY79" i="4"/>
  <c r="BX79" i="4"/>
  <c r="BW79" i="4"/>
  <c r="AD79" i="4"/>
  <c r="M79" i="4"/>
  <c r="J79" i="4"/>
  <c r="F79" i="4"/>
  <c r="GI85" i="4"/>
  <c r="GG85" i="4"/>
  <c r="GF85" i="4" s="1"/>
  <c r="EY85" i="4"/>
  <c r="ER85" i="4"/>
  <c r="EQ85" i="4"/>
  <c r="EP85" i="4"/>
  <c r="CU85" i="4"/>
  <c r="CF85" i="4"/>
  <c r="BY85" i="4"/>
  <c r="BX85" i="4"/>
  <c r="BW85" i="4"/>
  <c r="AD85" i="4"/>
  <c r="M85" i="4"/>
  <c r="J85" i="4"/>
  <c r="F85" i="4"/>
  <c r="GI38" i="4"/>
  <c r="GG38" i="4"/>
  <c r="GF38" i="4" s="1"/>
  <c r="EY38" i="4"/>
  <c r="ER38" i="4"/>
  <c r="EQ38" i="4"/>
  <c r="EP38" i="4"/>
  <c r="CU38" i="4"/>
  <c r="CF38" i="4"/>
  <c r="BY38" i="4"/>
  <c r="BX38" i="4"/>
  <c r="BW38" i="4"/>
  <c r="BZ38" i="4" s="1"/>
  <c r="AD38" i="4"/>
  <c r="M38" i="4"/>
  <c r="J38" i="4"/>
  <c r="F38" i="4"/>
  <c r="GI57" i="4"/>
  <c r="GG57" i="4"/>
  <c r="GF57" i="4" s="1"/>
  <c r="EY57" i="4"/>
  <c r="ER57" i="4"/>
  <c r="EQ57" i="4"/>
  <c r="EP57" i="4"/>
  <c r="CU57" i="4"/>
  <c r="CF57" i="4"/>
  <c r="BY57" i="4"/>
  <c r="BX57" i="4"/>
  <c r="BW57" i="4"/>
  <c r="AD57" i="4"/>
  <c r="M57" i="4"/>
  <c r="J57" i="4"/>
  <c r="F57" i="4"/>
  <c r="GI59" i="4"/>
  <c r="GG59" i="4"/>
  <c r="GF59" i="4" s="1"/>
  <c r="EY59" i="4"/>
  <c r="ER59" i="4"/>
  <c r="EQ59" i="4"/>
  <c r="EP59" i="4"/>
  <c r="EI59" i="4"/>
  <c r="EJ59" i="4" s="1"/>
  <c r="CU59" i="4"/>
  <c r="CF59" i="4"/>
  <c r="BY59" i="4"/>
  <c r="BX59" i="4"/>
  <c r="BW59" i="4"/>
  <c r="BR59" i="4"/>
  <c r="AD59" i="4"/>
  <c r="M59" i="4"/>
  <c r="J59" i="4"/>
  <c r="F59" i="4"/>
  <c r="GI52" i="4"/>
  <c r="GG52" i="4"/>
  <c r="GF52" i="4" s="1"/>
  <c r="EY52" i="4"/>
  <c r="ER52" i="4"/>
  <c r="EQ52" i="4"/>
  <c r="EP52" i="4"/>
  <c r="EJ52" i="4"/>
  <c r="CU52" i="4"/>
  <c r="CF52" i="4"/>
  <c r="BY52" i="4"/>
  <c r="BX52" i="4"/>
  <c r="BW52" i="4"/>
  <c r="BR52" i="4"/>
  <c r="AD52" i="4"/>
  <c r="M52" i="4"/>
  <c r="J52" i="4"/>
  <c r="F52" i="4"/>
  <c r="GI90" i="4"/>
  <c r="GG90" i="4"/>
  <c r="GF90" i="4" s="1"/>
  <c r="EY90" i="4"/>
  <c r="ER90" i="4"/>
  <c r="EQ90" i="4"/>
  <c r="EP90" i="4"/>
  <c r="EJ90" i="4"/>
  <c r="CU90" i="4"/>
  <c r="CF90" i="4"/>
  <c r="BY90" i="4"/>
  <c r="BX90" i="4"/>
  <c r="BW90" i="4"/>
  <c r="BQ90" i="4"/>
  <c r="AD90" i="4"/>
  <c r="M90" i="4"/>
  <c r="J90" i="4"/>
  <c r="F90" i="4"/>
  <c r="GI88" i="4"/>
  <c r="GG88" i="4"/>
  <c r="GF88" i="4" s="1"/>
  <c r="EY88" i="4"/>
  <c r="ER88" i="4"/>
  <c r="EQ88" i="4"/>
  <c r="EP88" i="4"/>
  <c r="EJ88" i="4"/>
  <c r="CF88" i="4"/>
  <c r="BY88" i="4"/>
  <c r="BX88" i="4"/>
  <c r="BW88" i="4"/>
  <c r="BR88" i="4"/>
  <c r="AD88" i="4"/>
  <c r="M88" i="4"/>
  <c r="J88" i="4"/>
  <c r="F88" i="4"/>
  <c r="GI55" i="4"/>
  <c r="GG55" i="4"/>
  <c r="GF55" i="4" s="1"/>
  <c r="EY55" i="4"/>
  <c r="ER55" i="4"/>
  <c r="EQ55" i="4"/>
  <c r="EP55" i="4"/>
  <c r="EJ55" i="4"/>
  <c r="CF55" i="4"/>
  <c r="BY55" i="4"/>
  <c r="BX55" i="4"/>
  <c r="BW55" i="4"/>
  <c r="BR55" i="4"/>
  <c r="AD55" i="4"/>
  <c r="M55" i="4"/>
  <c r="J55" i="4"/>
  <c r="F55" i="4"/>
  <c r="GI84" i="4"/>
  <c r="GG84" i="4"/>
  <c r="GF84" i="4" s="1"/>
  <c r="EY84" i="4"/>
  <c r="ER84" i="4"/>
  <c r="EQ84" i="4"/>
  <c r="EP84" i="4"/>
  <c r="EI84" i="4"/>
  <c r="EJ84" i="4" s="1"/>
  <c r="CU84" i="4"/>
  <c r="CF84" i="4"/>
  <c r="BY84" i="4"/>
  <c r="BX84" i="4"/>
  <c r="BW84" i="4"/>
  <c r="BQ84" i="4"/>
  <c r="AD84" i="4"/>
  <c r="M84" i="4"/>
  <c r="J84" i="4"/>
  <c r="F84" i="4"/>
  <c r="GI77" i="4"/>
  <c r="GG77" i="4"/>
  <c r="GF77" i="4" s="1"/>
  <c r="EY77" i="4"/>
  <c r="ER77" i="4"/>
  <c r="EQ77" i="4"/>
  <c r="EP77" i="4"/>
  <c r="EI77" i="4"/>
  <c r="EJ77" i="4" s="1"/>
  <c r="CF77" i="4"/>
  <c r="BY77" i="4"/>
  <c r="BX77" i="4"/>
  <c r="BW77" i="4"/>
  <c r="AD77" i="4"/>
  <c r="M77" i="4"/>
  <c r="J77" i="4"/>
  <c r="F77" i="4"/>
  <c r="GI83" i="4"/>
  <c r="GG83" i="4"/>
  <c r="GF83" i="4" s="1"/>
  <c r="EY83" i="4"/>
  <c r="ER83" i="4"/>
  <c r="EQ83" i="4"/>
  <c r="EP83" i="4"/>
  <c r="EI83" i="4"/>
  <c r="EJ83" i="4" s="1"/>
  <c r="CU83" i="4"/>
  <c r="CF83" i="4"/>
  <c r="BY83" i="4"/>
  <c r="BX83" i="4"/>
  <c r="BW83" i="4"/>
  <c r="BQ83" i="4"/>
  <c r="AD83" i="4"/>
  <c r="M83" i="4"/>
  <c r="J83" i="4"/>
  <c r="F83" i="4"/>
  <c r="GI42" i="4"/>
  <c r="GG42" i="4"/>
  <c r="GF42" i="4" s="1"/>
  <c r="EY42" i="4"/>
  <c r="ER42" i="4"/>
  <c r="EQ42" i="4"/>
  <c r="EP42" i="4"/>
  <c r="EI42" i="4"/>
  <c r="EJ42" i="4" s="1"/>
  <c r="CF42" i="4"/>
  <c r="BY42" i="4"/>
  <c r="BX42" i="4"/>
  <c r="BW42" i="4"/>
  <c r="AD42" i="4"/>
  <c r="M42" i="4"/>
  <c r="J42" i="4"/>
  <c r="F42" i="4"/>
  <c r="GI48" i="4"/>
  <c r="GG48" i="4"/>
  <c r="GF48" i="4" s="1"/>
  <c r="EY48" i="4"/>
  <c r="ER48" i="4"/>
  <c r="EQ48" i="4"/>
  <c r="EP48" i="4"/>
  <c r="EI48" i="4"/>
  <c r="EJ48" i="4" s="1"/>
  <c r="CU48" i="4"/>
  <c r="CF48" i="4"/>
  <c r="BY48" i="4"/>
  <c r="BX48" i="4"/>
  <c r="BW48" i="4"/>
  <c r="BQ48" i="4"/>
  <c r="AD48" i="4"/>
  <c r="M48" i="4"/>
  <c r="J48" i="4"/>
  <c r="F48" i="4"/>
  <c r="GJ46" i="4"/>
  <c r="GK46" i="4" s="1"/>
  <c r="GI46" i="4"/>
  <c r="GG46" i="4"/>
  <c r="GF46" i="4" s="1"/>
  <c r="EY46" i="4"/>
  <c r="ER46" i="4"/>
  <c r="EQ46" i="4"/>
  <c r="EP46" i="4"/>
  <c r="EI46" i="4"/>
  <c r="EJ46" i="4" s="1"/>
  <c r="CF46" i="4"/>
  <c r="BY46" i="4"/>
  <c r="BX46" i="4"/>
  <c r="BW46" i="4"/>
  <c r="AD46" i="4"/>
  <c r="M46" i="4"/>
  <c r="J46" i="4"/>
  <c r="F46" i="4"/>
  <c r="GI74" i="4"/>
  <c r="GG74" i="4"/>
  <c r="GF74" i="4" s="1"/>
  <c r="EY74" i="4"/>
  <c r="ER74" i="4"/>
  <c r="EQ74" i="4"/>
  <c r="EP74" i="4"/>
  <c r="EI74" i="4"/>
  <c r="EJ74" i="4" s="1"/>
  <c r="CU74" i="4"/>
  <c r="CF74" i="4"/>
  <c r="BY74" i="4"/>
  <c r="BX74" i="4"/>
  <c r="BW74" i="4"/>
  <c r="BQ74" i="4"/>
  <c r="AD74" i="4"/>
  <c r="M74" i="4"/>
  <c r="J74" i="4"/>
  <c r="F74" i="4"/>
  <c r="GI47" i="4"/>
  <c r="GG47" i="4"/>
  <c r="GF47" i="4" s="1"/>
  <c r="EY47" i="4"/>
  <c r="ER47" i="4"/>
  <c r="EQ47" i="4"/>
  <c r="EP47" i="4"/>
  <c r="CU47" i="4"/>
  <c r="CF47" i="4"/>
  <c r="BY47" i="4"/>
  <c r="BX47" i="4"/>
  <c r="BW47" i="4"/>
  <c r="AD47" i="4"/>
  <c r="M47" i="4"/>
  <c r="J47" i="4"/>
  <c r="F47" i="4"/>
  <c r="GI4" i="4"/>
  <c r="GG4" i="4"/>
  <c r="GF4" i="4" s="1"/>
  <c r="EY4" i="4"/>
  <c r="ER4" i="4"/>
  <c r="EQ4" i="4"/>
  <c r="EP4" i="4"/>
  <c r="EI4" i="4"/>
  <c r="EJ4" i="4" s="1"/>
  <c r="CF4" i="4"/>
  <c r="BY4" i="4"/>
  <c r="BX4" i="4"/>
  <c r="BW4" i="4"/>
  <c r="BR4" i="4"/>
  <c r="AD4" i="4"/>
  <c r="M4" i="4"/>
  <c r="J4" i="4"/>
  <c r="F4" i="4"/>
  <c r="GI56" i="4"/>
  <c r="GG56" i="4"/>
  <c r="GF56" i="4" s="1"/>
  <c r="EY56" i="4"/>
  <c r="ER56" i="4"/>
  <c r="EQ56" i="4"/>
  <c r="EP56" i="4"/>
  <c r="EI56" i="4"/>
  <c r="EJ56" i="4" s="1"/>
  <c r="CU56" i="4"/>
  <c r="CF56" i="4"/>
  <c r="BY56" i="4"/>
  <c r="BX56" i="4"/>
  <c r="BW56" i="4"/>
  <c r="AD56" i="4"/>
  <c r="M56" i="4"/>
  <c r="J56" i="4"/>
  <c r="F56" i="4"/>
  <c r="GI28" i="4"/>
  <c r="GG28" i="4"/>
  <c r="GF28" i="4" s="1"/>
  <c r="EY28" i="4"/>
  <c r="ER28" i="4"/>
  <c r="EQ28" i="4"/>
  <c r="EP28" i="4"/>
  <c r="EI28" i="4"/>
  <c r="CF28" i="4"/>
  <c r="BY28" i="4"/>
  <c r="BX28" i="4"/>
  <c r="BW28" i="4"/>
  <c r="AD28" i="4"/>
  <c r="M28" i="4"/>
  <c r="J28" i="4"/>
  <c r="F28" i="4"/>
  <c r="GJ82" i="4"/>
  <c r="GK82" i="4" s="1"/>
  <c r="GI82" i="4"/>
  <c r="GG82" i="4"/>
  <c r="GF82" i="4" s="1"/>
  <c r="EY82" i="4"/>
  <c r="ER82" i="4"/>
  <c r="EQ82" i="4"/>
  <c r="EP82" i="4"/>
  <c r="EI82" i="4"/>
  <c r="CU82" i="4"/>
  <c r="CF82" i="4"/>
  <c r="BY82" i="4"/>
  <c r="BX82" i="4"/>
  <c r="BW82" i="4"/>
  <c r="BQ82" i="4"/>
  <c r="AD82" i="4"/>
  <c r="M82" i="4"/>
  <c r="J82" i="4"/>
  <c r="F82" i="4"/>
  <c r="GI87" i="4"/>
  <c r="GG87" i="4"/>
  <c r="GF87" i="4" s="1"/>
  <c r="EY87" i="4"/>
  <c r="ER87" i="4"/>
  <c r="EQ87" i="4"/>
  <c r="EP87" i="4"/>
  <c r="EI87" i="4"/>
  <c r="EJ87" i="4" s="1"/>
  <c r="CF87" i="4"/>
  <c r="BY87" i="4"/>
  <c r="BX87" i="4"/>
  <c r="BW87" i="4"/>
  <c r="BR87" i="4"/>
  <c r="AD87" i="4"/>
  <c r="M87" i="4"/>
  <c r="J87" i="4"/>
  <c r="F87" i="4"/>
  <c r="GI73" i="4"/>
  <c r="GG73" i="4"/>
  <c r="GF73" i="4" s="1"/>
  <c r="EY73" i="4"/>
  <c r="ER73" i="4"/>
  <c r="EQ73" i="4"/>
  <c r="EP73" i="4"/>
  <c r="EI73" i="4"/>
  <c r="EJ73" i="4" s="1"/>
  <c r="CU73" i="4"/>
  <c r="CF73" i="4"/>
  <c r="BY73" i="4"/>
  <c r="BX73" i="4"/>
  <c r="BW73" i="4"/>
  <c r="BR73" i="4"/>
  <c r="AD73" i="4"/>
  <c r="M73" i="4"/>
  <c r="J73" i="4"/>
  <c r="F73" i="4"/>
  <c r="GI51" i="4"/>
  <c r="GG51" i="4"/>
  <c r="GF51" i="4" s="1"/>
  <c r="EY51" i="4"/>
  <c r="ER51" i="4"/>
  <c r="EQ51" i="4"/>
  <c r="EP51" i="4"/>
  <c r="EI51" i="4"/>
  <c r="EJ51" i="4" s="1"/>
  <c r="CF51" i="4"/>
  <c r="BY51" i="4"/>
  <c r="BX51" i="4"/>
  <c r="BW51" i="4"/>
  <c r="BR51" i="4"/>
  <c r="AD51" i="4"/>
  <c r="M51" i="4"/>
  <c r="J51" i="4"/>
  <c r="F51" i="4"/>
  <c r="GI86" i="4"/>
  <c r="GG86" i="4"/>
  <c r="GF86" i="4" s="1"/>
  <c r="EY86" i="4"/>
  <c r="ER86" i="4"/>
  <c r="EQ86" i="4"/>
  <c r="EP86" i="4"/>
  <c r="EI86" i="4"/>
  <c r="CU86" i="4"/>
  <c r="CF86" i="4"/>
  <c r="BY86" i="4"/>
  <c r="BX86" i="4"/>
  <c r="BW86" i="4"/>
  <c r="AD86" i="4"/>
  <c r="M86" i="4"/>
  <c r="J86" i="4"/>
  <c r="F86" i="4"/>
  <c r="GI95" i="4"/>
  <c r="GG95" i="4"/>
  <c r="GF95" i="4" s="1"/>
  <c r="EY95" i="4"/>
  <c r="ER95" i="4"/>
  <c r="EQ95" i="4"/>
  <c r="EP95" i="4"/>
  <c r="EI95" i="4"/>
  <c r="EJ95" i="4" s="1"/>
  <c r="CU95" i="4"/>
  <c r="CF95" i="4"/>
  <c r="BY95" i="4"/>
  <c r="BX95" i="4"/>
  <c r="BW95" i="4"/>
  <c r="AD95" i="4"/>
  <c r="M95" i="4"/>
  <c r="J95" i="4"/>
  <c r="F95" i="4"/>
  <c r="GI72" i="4"/>
  <c r="GG72" i="4"/>
  <c r="GF72" i="4" s="1"/>
  <c r="EY72" i="4"/>
  <c r="ER72" i="4"/>
  <c r="EQ72" i="4"/>
  <c r="EP72" i="4"/>
  <c r="EJ72" i="4"/>
  <c r="CF72" i="4"/>
  <c r="BY72" i="4"/>
  <c r="BX72" i="4"/>
  <c r="BW72" i="4"/>
  <c r="BR72" i="4"/>
  <c r="AD72" i="4"/>
  <c r="M72" i="4"/>
  <c r="J72" i="4"/>
  <c r="F72" i="4"/>
  <c r="GI14" i="4"/>
  <c r="GG14" i="4"/>
  <c r="GF14" i="4" s="1"/>
  <c r="EY14" i="4"/>
  <c r="ER14" i="4"/>
  <c r="EQ14" i="4"/>
  <c r="EP14" i="4"/>
  <c r="EI14" i="4"/>
  <c r="CU14" i="4"/>
  <c r="CF14" i="4"/>
  <c r="BY14" i="4"/>
  <c r="BX14" i="4"/>
  <c r="BW14" i="4"/>
  <c r="BQ14" i="4"/>
  <c r="AD14" i="4"/>
  <c r="M14" i="4"/>
  <c r="J14" i="4"/>
  <c r="F14" i="4"/>
  <c r="GI21" i="4"/>
  <c r="GG21" i="4"/>
  <c r="GF21" i="4" s="1"/>
  <c r="EY21" i="4"/>
  <c r="ER21" i="4"/>
  <c r="EQ21" i="4"/>
  <c r="EP21" i="4"/>
  <c r="EI21" i="4"/>
  <c r="EJ21" i="4" s="1"/>
  <c r="CF21" i="4"/>
  <c r="BY21" i="4"/>
  <c r="BX21" i="4"/>
  <c r="BW21" i="4"/>
  <c r="AD21" i="4"/>
  <c r="M21" i="4"/>
  <c r="J21" i="4"/>
  <c r="F21" i="4"/>
  <c r="GJ69" i="4"/>
  <c r="GK69" i="4" s="1"/>
  <c r="GI69" i="4"/>
  <c r="GG69" i="4"/>
  <c r="GF69" i="4" s="1"/>
  <c r="EY69" i="4"/>
  <c r="ER69" i="4"/>
  <c r="EQ69" i="4"/>
  <c r="EP69" i="4"/>
  <c r="EI69" i="4"/>
  <c r="EJ69" i="4" s="1"/>
  <c r="CU69" i="4"/>
  <c r="CF69" i="4"/>
  <c r="BY69" i="4"/>
  <c r="BX69" i="4"/>
  <c r="BW69" i="4"/>
  <c r="BQ69" i="4"/>
  <c r="AD69" i="4"/>
  <c r="M69" i="4"/>
  <c r="J69" i="4"/>
  <c r="F69" i="4"/>
  <c r="GI30" i="4"/>
  <c r="GG30" i="4"/>
  <c r="GF30" i="4" s="1"/>
  <c r="EY30" i="4"/>
  <c r="ER30" i="4"/>
  <c r="EQ30" i="4"/>
  <c r="EP30" i="4"/>
  <c r="EI30" i="4"/>
  <c r="EJ30" i="4" s="1"/>
  <c r="CU30" i="4"/>
  <c r="CF30" i="4"/>
  <c r="BY30" i="4"/>
  <c r="BX30" i="4"/>
  <c r="BW30" i="4"/>
  <c r="AD30" i="4"/>
  <c r="M30" i="4"/>
  <c r="J30" i="4"/>
  <c r="F30" i="4"/>
  <c r="GI61" i="4"/>
  <c r="GG61" i="4"/>
  <c r="GF61" i="4" s="1"/>
  <c r="EY61" i="4"/>
  <c r="ER61" i="4"/>
  <c r="EQ61" i="4"/>
  <c r="EP61" i="4"/>
  <c r="EI61" i="4"/>
  <c r="EJ61" i="4" s="1"/>
  <c r="CF61" i="4"/>
  <c r="BY61" i="4"/>
  <c r="BX61" i="4"/>
  <c r="BW61" i="4"/>
  <c r="BR61" i="4"/>
  <c r="AD61" i="4"/>
  <c r="M61" i="4"/>
  <c r="J61" i="4"/>
  <c r="F61" i="4"/>
  <c r="GI18" i="4"/>
  <c r="GG18" i="4"/>
  <c r="GF18" i="4" s="1"/>
  <c r="EY18" i="4"/>
  <c r="ER18" i="4"/>
  <c r="EQ18" i="4"/>
  <c r="EP18" i="4"/>
  <c r="EI18" i="4"/>
  <c r="EJ18" i="4" s="1"/>
  <c r="CU18" i="4"/>
  <c r="CF18" i="4"/>
  <c r="BY18" i="4"/>
  <c r="BX18" i="4"/>
  <c r="BW18" i="4"/>
  <c r="AD18" i="4"/>
  <c r="M18" i="4"/>
  <c r="J18" i="4"/>
  <c r="F18" i="4"/>
  <c r="GI81" i="4"/>
  <c r="GG81" i="4"/>
  <c r="GF81" i="4" s="1"/>
  <c r="EY81" i="4"/>
  <c r="ER81" i="4"/>
  <c r="EQ81" i="4"/>
  <c r="EP81" i="4"/>
  <c r="EI81" i="4"/>
  <c r="EJ81" i="4" s="1"/>
  <c r="CF81" i="4"/>
  <c r="BY81" i="4"/>
  <c r="BX81" i="4"/>
  <c r="BW81" i="4"/>
  <c r="BR81" i="4"/>
  <c r="AD81" i="4"/>
  <c r="M81" i="4"/>
  <c r="J81" i="4"/>
  <c r="F81" i="4"/>
  <c r="GI60" i="4"/>
  <c r="GG60" i="4"/>
  <c r="GF60" i="4" s="1"/>
  <c r="EY60" i="4"/>
  <c r="ER60" i="4"/>
  <c r="EQ60" i="4"/>
  <c r="EP60" i="4"/>
  <c r="EI60" i="4"/>
  <c r="CF60" i="4"/>
  <c r="BY60" i="4"/>
  <c r="BX60" i="4"/>
  <c r="BW60" i="4"/>
  <c r="BQ60" i="4"/>
  <c r="AD60" i="4"/>
  <c r="M60" i="4"/>
  <c r="J60" i="4"/>
  <c r="F60" i="4"/>
  <c r="GJ34" i="4"/>
  <c r="GK34" i="4" s="1"/>
  <c r="GI34" i="4"/>
  <c r="GG34" i="4"/>
  <c r="GF34" i="4" s="1"/>
  <c r="EY34" i="4"/>
  <c r="ER34" i="4"/>
  <c r="EQ34" i="4"/>
  <c r="EP34" i="4"/>
  <c r="EI34" i="4"/>
  <c r="EJ34" i="4" s="1"/>
  <c r="CU34" i="4"/>
  <c r="CF34" i="4"/>
  <c r="BY34" i="4"/>
  <c r="BX34" i="4"/>
  <c r="BW34" i="4"/>
  <c r="BQ34" i="4"/>
  <c r="AD34" i="4"/>
  <c r="M34" i="4"/>
  <c r="J34" i="4"/>
  <c r="F34" i="4"/>
  <c r="GI89" i="4"/>
  <c r="GG89" i="4"/>
  <c r="GF89" i="4" s="1"/>
  <c r="EY89" i="4"/>
  <c r="ER89" i="4"/>
  <c r="EQ89" i="4"/>
  <c r="EP89" i="4"/>
  <c r="EJ89" i="4"/>
  <c r="CU89" i="4"/>
  <c r="CF89" i="4"/>
  <c r="BY89" i="4"/>
  <c r="BX89" i="4"/>
  <c r="BW89" i="4"/>
  <c r="BR89" i="4"/>
  <c r="AD89" i="4"/>
  <c r="M89" i="4"/>
  <c r="J89" i="4"/>
  <c r="F89" i="4"/>
  <c r="GI36" i="4"/>
  <c r="GG36" i="4"/>
  <c r="GF36" i="4" s="1"/>
  <c r="EY36" i="4"/>
  <c r="ER36" i="4"/>
  <c r="EQ36" i="4"/>
  <c r="EP36" i="4"/>
  <c r="EJ36" i="4"/>
  <c r="CU36" i="4"/>
  <c r="CF36" i="4"/>
  <c r="BY36" i="4"/>
  <c r="BX36" i="4"/>
  <c r="BW36" i="4"/>
  <c r="BQ36" i="4"/>
  <c r="AD36" i="4"/>
  <c r="M36" i="4"/>
  <c r="J36" i="4"/>
  <c r="F36" i="4"/>
  <c r="GI26" i="4"/>
  <c r="GG26" i="4"/>
  <c r="GF26" i="4" s="1"/>
  <c r="EY26" i="4"/>
  <c r="ER26" i="4"/>
  <c r="EQ26" i="4"/>
  <c r="EP26" i="4"/>
  <c r="EI26" i="4"/>
  <c r="EJ26" i="4" s="1"/>
  <c r="CF26" i="4"/>
  <c r="BY26" i="4"/>
  <c r="BX26" i="4"/>
  <c r="BW26" i="4"/>
  <c r="BR26" i="4"/>
  <c r="AD26" i="4"/>
  <c r="M26" i="4"/>
  <c r="J26" i="4"/>
  <c r="F26" i="4"/>
  <c r="GI23" i="4"/>
  <c r="GG23" i="4"/>
  <c r="GF23" i="4" s="1"/>
  <c r="EY23" i="4"/>
  <c r="ER23" i="4"/>
  <c r="EQ23" i="4"/>
  <c r="EP23" i="4"/>
  <c r="EJ23" i="4"/>
  <c r="CF23" i="4"/>
  <c r="BY23" i="4"/>
  <c r="BX23" i="4"/>
  <c r="BW23" i="4"/>
  <c r="BR23" i="4"/>
  <c r="AD23" i="4"/>
  <c r="M23" i="4"/>
  <c r="J23" i="4"/>
  <c r="F23" i="4"/>
  <c r="GI19" i="4"/>
  <c r="GG19" i="4"/>
  <c r="GF19" i="4" s="1"/>
  <c r="EY19" i="4"/>
  <c r="ER19" i="4"/>
  <c r="EQ19" i="4"/>
  <c r="EP19" i="4"/>
  <c r="EI19" i="4"/>
  <c r="EJ19" i="4" s="1"/>
  <c r="CU19" i="4"/>
  <c r="CF19" i="4"/>
  <c r="BY19" i="4"/>
  <c r="BX19" i="4"/>
  <c r="BW19" i="4"/>
  <c r="AD19" i="4"/>
  <c r="M19" i="4"/>
  <c r="J19" i="4"/>
  <c r="F19" i="4"/>
  <c r="GI7" i="4"/>
  <c r="GG7" i="4"/>
  <c r="GF7" i="4" s="1"/>
  <c r="EY7" i="4"/>
  <c r="ER7" i="4"/>
  <c r="EQ7" i="4"/>
  <c r="EP7" i="4"/>
  <c r="EI7" i="4"/>
  <c r="CU7" i="4"/>
  <c r="CF7" i="4"/>
  <c r="BY7" i="4"/>
  <c r="BX7" i="4"/>
  <c r="BW7" i="4"/>
  <c r="BQ7" i="4"/>
  <c r="AD7" i="4"/>
  <c r="M7" i="4"/>
  <c r="J7" i="4"/>
  <c r="F7" i="4"/>
  <c r="GI5" i="4"/>
  <c r="GG5" i="4"/>
  <c r="GF5" i="4" s="1"/>
  <c r="EY5" i="4"/>
  <c r="ER5" i="4"/>
  <c r="EQ5" i="4"/>
  <c r="EP5" i="4"/>
  <c r="EI5" i="4"/>
  <c r="EJ5" i="4" s="1"/>
  <c r="CU5" i="4"/>
  <c r="CF5" i="4"/>
  <c r="BY5" i="4"/>
  <c r="BX5" i="4"/>
  <c r="BW5" i="4"/>
  <c r="BQ5" i="4"/>
  <c r="AD5" i="4"/>
  <c r="M5" i="4"/>
  <c r="J5" i="4"/>
  <c r="F5" i="4"/>
  <c r="GI41" i="4"/>
  <c r="GG41" i="4"/>
  <c r="GF41" i="4" s="1"/>
  <c r="EY41" i="4"/>
  <c r="ER41" i="4"/>
  <c r="EQ41" i="4"/>
  <c r="EP41" i="4"/>
  <c r="EI41" i="4"/>
  <c r="EJ41" i="4" s="1"/>
  <c r="CU41" i="4"/>
  <c r="CF41" i="4"/>
  <c r="BY41" i="4"/>
  <c r="BX41" i="4"/>
  <c r="BW41" i="4"/>
  <c r="BQ41" i="4"/>
  <c r="AD41" i="4"/>
  <c r="M41" i="4"/>
  <c r="J41" i="4"/>
  <c r="F41" i="4"/>
  <c r="GI43" i="4"/>
  <c r="GG43" i="4"/>
  <c r="GF43" i="4" s="1"/>
  <c r="EY43" i="4"/>
  <c r="ER43" i="4"/>
  <c r="EQ43" i="4"/>
  <c r="EP43" i="4"/>
  <c r="EI43" i="4"/>
  <c r="EJ43" i="4" s="1"/>
  <c r="CU43" i="4"/>
  <c r="CF43" i="4"/>
  <c r="BY43" i="4"/>
  <c r="BX43" i="4"/>
  <c r="BW43" i="4"/>
  <c r="AD43" i="4"/>
  <c r="J43" i="4"/>
  <c r="F43" i="4"/>
  <c r="GI32" i="4"/>
  <c r="GG32" i="4"/>
  <c r="GF32" i="4" s="1"/>
  <c r="EY32" i="4"/>
  <c r="ER32" i="4"/>
  <c r="EQ32" i="4"/>
  <c r="EP32" i="4"/>
  <c r="EI32" i="4"/>
  <c r="EJ32" i="4" s="1"/>
  <c r="CU32" i="4"/>
  <c r="CF32" i="4"/>
  <c r="BY32" i="4"/>
  <c r="BX32" i="4"/>
  <c r="BW32" i="4"/>
  <c r="BQ32" i="4"/>
  <c r="AD32" i="4"/>
  <c r="M32" i="4"/>
  <c r="J32" i="4"/>
  <c r="F32" i="4"/>
  <c r="GI15" i="4"/>
  <c r="GG15" i="4"/>
  <c r="GF15" i="4" s="1"/>
  <c r="EY15" i="4"/>
  <c r="ER15" i="4"/>
  <c r="EQ15" i="4"/>
  <c r="EP15" i="4"/>
  <c r="EI15" i="4"/>
  <c r="EJ15" i="4" s="1"/>
  <c r="CF15" i="4"/>
  <c r="BY15" i="4"/>
  <c r="BX15" i="4"/>
  <c r="BW15" i="4"/>
  <c r="AD15" i="4"/>
  <c r="M15" i="4"/>
  <c r="J15" i="4"/>
  <c r="F15" i="4"/>
  <c r="GI35" i="4"/>
  <c r="GG35" i="4"/>
  <c r="GF35" i="4" s="1"/>
  <c r="EY35" i="4"/>
  <c r="ER35" i="4"/>
  <c r="EQ35" i="4"/>
  <c r="EP35" i="4"/>
  <c r="EI35" i="4"/>
  <c r="EJ35" i="4" s="1"/>
  <c r="CU35" i="4"/>
  <c r="CF35" i="4"/>
  <c r="BY35" i="4"/>
  <c r="BX35" i="4"/>
  <c r="BW35" i="4"/>
  <c r="AD35" i="4"/>
  <c r="J35" i="4"/>
  <c r="F35" i="4"/>
  <c r="GI27" i="4"/>
  <c r="GG27" i="4"/>
  <c r="GF27" i="4" s="1"/>
  <c r="EY27" i="4"/>
  <c r="ER27" i="4"/>
  <c r="EQ27" i="4"/>
  <c r="EP27" i="4"/>
  <c r="EI27" i="4"/>
  <c r="CU27" i="4"/>
  <c r="CF27" i="4"/>
  <c r="BY27" i="4"/>
  <c r="BX27" i="4"/>
  <c r="BW27" i="4"/>
  <c r="BQ27" i="4"/>
  <c r="AD27" i="4"/>
  <c r="M27" i="4"/>
  <c r="J27" i="4"/>
  <c r="F27" i="4"/>
  <c r="GI44" i="4"/>
  <c r="GG44" i="4"/>
  <c r="GF44" i="4" s="1"/>
  <c r="EY44" i="4"/>
  <c r="ER44" i="4"/>
  <c r="EQ44" i="4"/>
  <c r="EP44" i="4"/>
  <c r="EI44" i="4"/>
  <c r="EJ44" i="4" s="1"/>
  <c r="CF44" i="4"/>
  <c r="BY44" i="4"/>
  <c r="BX44" i="4"/>
  <c r="BW44" i="4"/>
  <c r="BR44" i="4"/>
  <c r="AD44" i="4"/>
  <c r="M44" i="4"/>
  <c r="J44" i="4"/>
  <c r="F44" i="4"/>
  <c r="GI11" i="4"/>
  <c r="GG11" i="4"/>
  <c r="GF11" i="4" s="1"/>
  <c r="EY11" i="4"/>
  <c r="ER11" i="4"/>
  <c r="EQ11" i="4"/>
  <c r="EP11" i="4"/>
  <c r="EI11" i="4"/>
  <c r="EJ11" i="4" s="1"/>
  <c r="CU11" i="4"/>
  <c r="CF11" i="4"/>
  <c r="BY11" i="4"/>
  <c r="BX11" i="4"/>
  <c r="BW11" i="4"/>
  <c r="AD11" i="4"/>
  <c r="M11" i="4"/>
  <c r="J11" i="4"/>
  <c r="F11" i="4"/>
  <c r="GI25" i="4"/>
  <c r="GG25" i="4"/>
  <c r="GF25" i="4" s="1"/>
  <c r="EY25" i="4"/>
  <c r="ER25" i="4"/>
  <c r="EQ25" i="4"/>
  <c r="EP25" i="4"/>
  <c r="EG25" i="4"/>
  <c r="CU25" i="4"/>
  <c r="CF25" i="4"/>
  <c r="BY25" i="4"/>
  <c r="BX25" i="4"/>
  <c r="BW25" i="4"/>
  <c r="BO25" i="4"/>
  <c r="AD25" i="4"/>
  <c r="M25" i="4"/>
  <c r="J25" i="4"/>
  <c r="F25" i="4"/>
  <c r="GI8" i="4"/>
  <c r="GG8" i="4"/>
  <c r="GF8" i="4" s="1"/>
  <c r="EY8" i="4"/>
  <c r="ER8" i="4"/>
  <c r="EQ8" i="4"/>
  <c r="EP8" i="4"/>
  <c r="EI8" i="4"/>
  <c r="EJ8" i="4" s="1"/>
  <c r="CF8" i="4"/>
  <c r="BY8" i="4"/>
  <c r="BX8" i="4"/>
  <c r="BW8" i="4"/>
  <c r="BR8" i="4"/>
  <c r="AD8" i="4"/>
  <c r="M8" i="4"/>
  <c r="J8" i="4"/>
  <c r="F8" i="4"/>
  <c r="GI94" i="4"/>
  <c r="GG94" i="4"/>
  <c r="GF94" i="4" s="1"/>
  <c r="EY94" i="4"/>
  <c r="ER94" i="4"/>
  <c r="EQ94" i="4"/>
  <c r="EP94" i="4"/>
  <c r="EI94" i="4"/>
  <c r="CU94" i="4"/>
  <c r="CF94" i="4"/>
  <c r="BY94" i="4"/>
  <c r="BX94" i="4"/>
  <c r="BW94" i="4"/>
  <c r="AD94" i="4"/>
  <c r="M94" i="4"/>
  <c r="J94" i="4"/>
  <c r="F94" i="4"/>
  <c r="GI37" i="4"/>
  <c r="GG37" i="4"/>
  <c r="GF37" i="4" s="1"/>
  <c r="EY37" i="4"/>
  <c r="ER37" i="4"/>
  <c r="EQ37" i="4"/>
  <c r="EP37" i="4"/>
  <c r="EI37" i="4"/>
  <c r="CU37" i="4"/>
  <c r="CF37" i="4"/>
  <c r="BY37" i="4"/>
  <c r="BX37" i="4"/>
  <c r="BW37" i="4"/>
  <c r="BQ37" i="4"/>
  <c r="AD37" i="4"/>
  <c r="M37" i="4"/>
  <c r="J37" i="4"/>
  <c r="F37" i="4"/>
  <c r="GI40" i="4"/>
  <c r="GG40" i="4"/>
  <c r="GF40" i="4" s="1"/>
  <c r="EY40" i="4"/>
  <c r="ER40" i="4"/>
  <c r="EQ40" i="4"/>
  <c r="EP40" i="4"/>
  <c r="EI40" i="4"/>
  <c r="EJ40" i="4" s="1"/>
  <c r="CU40" i="4"/>
  <c r="CF40" i="4"/>
  <c r="BY40" i="4"/>
  <c r="BX40" i="4"/>
  <c r="BW40" i="4"/>
  <c r="AD40" i="4"/>
  <c r="M40" i="4"/>
  <c r="J40" i="4"/>
  <c r="F40" i="4"/>
  <c r="GI10" i="4"/>
  <c r="GG10" i="4"/>
  <c r="GF10" i="4" s="1"/>
  <c r="EY10" i="4"/>
  <c r="ER10" i="4"/>
  <c r="EQ10" i="4"/>
  <c r="EP10" i="4"/>
  <c r="EI10" i="4"/>
  <c r="CU10" i="4"/>
  <c r="CF10" i="4"/>
  <c r="BY10" i="4"/>
  <c r="BX10" i="4"/>
  <c r="BW10" i="4"/>
  <c r="BQ10" i="4"/>
  <c r="AD10" i="4"/>
  <c r="M10" i="4"/>
  <c r="J10" i="4"/>
  <c r="F10" i="4"/>
  <c r="GI6" i="4"/>
  <c r="GG6" i="4"/>
  <c r="GF6" i="4" s="1"/>
  <c r="EY6" i="4"/>
  <c r="ER6" i="4"/>
  <c r="EQ6" i="4"/>
  <c r="EP6" i="4"/>
  <c r="EJ6" i="4"/>
  <c r="CU6" i="4"/>
  <c r="CF6" i="4"/>
  <c r="BY6" i="4"/>
  <c r="BX6" i="4"/>
  <c r="BW6" i="4"/>
  <c r="AD6" i="4"/>
  <c r="M6" i="4"/>
  <c r="J6" i="4"/>
  <c r="F6" i="4"/>
  <c r="GI49" i="4"/>
  <c r="GG49" i="4"/>
  <c r="GF49" i="4" s="1"/>
  <c r="EY49" i="4"/>
  <c r="ER49" i="4"/>
  <c r="EQ49" i="4"/>
  <c r="EP49" i="4"/>
  <c r="EI49" i="4"/>
  <c r="EJ49" i="4" s="1"/>
  <c r="CU49" i="4"/>
  <c r="CF49" i="4"/>
  <c r="BY49" i="4"/>
  <c r="BX49" i="4"/>
  <c r="BW49" i="4"/>
  <c r="AD49" i="4"/>
  <c r="M49" i="4"/>
  <c r="J49" i="4"/>
  <c r="F49" i="4"/>
  <c r="GI12" i="4"/>
  <c r="GG12" i="4"/>
  <c r="GF12" i="4" s="1"/>
  <c r="EY12" i="4"/>
  <c r="ER12" i="4"/>
  <c r="EQ12" i="4"/>
  <c r="EP12" i="4"/>
  <c r="EI12" i="4"/>
  <c r="EJ12" i="4" s="1"/>
  <c r="CU12" i="4"/>
  <c r="CF12" i="4"/>
  <c r="BY12" i="4"/>
  <c r="BX12" i="4"/>
  <c r="BW12" i="4"/>
  <c r="BQ12" i="4"/>
  <c r="AD12" i="4"/>
  <c r="M12" i="4"/>
  <c r="J12" i="4"/>
  <c r="F12" i="4"/>
  <c r="GI76" i="4"/>
  <c r="GG76" i="4"/>
  <c r="GF76" i="4" s="1"/>
  <c r="EY76" i="4"/>
  <c r="ER76" i="4"/>
  <c r="EQ76" i="4"/>
  <c r="EP76" i="4"/>
  <c r="EJ76" i="4"/>
  <c r="CU76" i="4"/>
  <c r="CF76" i="4"/>
  <c r="BY76" i="4"/>
  <c r="BX76" i="4"/>
  <c r="BW76" i="4"/>
  <c r="AD76" i="4"/>
  <c r="M76" i="4"/>
  <c r="J76" i="4"/>
  <c r="F76" i="4"/>
  <c r="GI54" i="4"/>
  <c r="GG54" i="4"/>
  <c r="GF54" i="4" s="1"/>
  <c r="EY54" i="4"/>
  <c r="ER54" i="4"/>
  <c r="EQ54" i="4"/>
  <c r="EP54" i="4"/>
  <c r="EJ54" i="4"/>
  <c r="CU54" i="4"/>
  <c r="CF54" i="4"/>
  <c r="BY54" i="4"/>
  <c r="BX54" i="4"/>
  <c r="BW54" i="4"/>
  <c r="BQ54" i="4"/>
  <c r="AD54" i="4"/>
  <c r="M54" i="4"/>
  <c r="J54" i="4"/>
  <c r="F54" i="4"/>
  <c r="GI39" i="4"/>
  <c r="GG39" i="4"/>
  <c r="GF39" i="4" s="1"/>
  <c r="EY39" i="4"/>
  <c r="ER39" i="4"/>
  <c r="EQ39" i="4"/>
  <c r="EP39" i="4"/>
  <c r="CU39" i="4"/>
  <c r="CF39" i="4"/>
  <c r="BY39" i="4"/>
  <c r="BX39" i="4"/>
  <c r="BW39" i="4"/>
  <c r="AD39" i="4"/>
  <c r="M39" i="4"/>
  <c r="J39" i="4"/>
  <c r="F39" i="4"/>
  <c r="GI31" i="4"/>
  <c r="GG31" i="4"/>
  <c r="GF31" i="4" s="1"/>
  <c r="EY31" i="4"/>
  <c r="ER31" i="4"/>
  <c r="EQ31" i="4"/>
  <c r="EP31" i="4"/>
  <c r="EJ31" i="4"/>
  <c r="CU31" i="4"/>
  <c r="CF31" i="4"/>
  <c r="BY31" i="4"/>
  <c r="BX31" i="4"/>
  <c r="BW31" i="4"/>
  <c r="AD31" i="4"/>
  <c r="M31" i="4"/>
  <c r="J31" i="4"/>
  <c r="F31" i="4"/>
  <c r="GJ53" i="4"/>
  <c r="GK53" i="4" s="1"/>
  <c r="GI53" i="4"/>
  <c r="GG53" i="4"/>
  <c r="GF53" i="4" s="1"/>
  <c r="EY53" i="4"/>
  <c r="ER53" i="4"/>
  <c r="EQ53" i="4"/>
  <c r="EP53" i="4"/>
  <c r="EJ53" i="4"/>
  <c r="CU53" i="4"/>
  <c r="CF53" i="4"/>
  <c r="BY53" i="4"/>
  <c r="BX53" i="4"/>
  <c r="BW53" i="4"/>
  <c r="AD53" i="4"/>
  <c r="M53" i="4"/>
  <c r="J53" i="4"/>
  <c r="F53" i="4"/>
  <c r="GI45" i="4"/>
  <c r="GG45" i="4"/>
  <c r="GF45" i="4" s="1"/>
  <c r="EY45" i="4"/>
  <c r="ER45" i="4"/>
  <c r="EQ45" i="4"/>
  <c r="EP45" i="4"/>
  <c r="EI45" i="4"/>
  <c r="CF45" i="4"/>
  <c r="BY45" i="4"/>
  <c r="BX45" i="4"/>
  <c r="BW45" i="4"/>
  <c r="BQ45" i="4"/>
  <c r="AD45" i="4"/>
  <c r="M45" i="4"/>
  <c r="J45" i="4"/>
  <c r="F45" i="4"/>
  <c r="GI66" i="4"/>
  <c r="GG66" i="4"/>
  <c r="GF66" i="4" s="1"/>
  <c r="EY66" i="4"/>
  <c r="ER66" i="4"/>
  <c r="EQ66" i="4"/>
  <c r="EP66" i="4"/>
  <c r="EI66" i="4"/>
  <c r="EJ66" i="4" s="1"/>
  <c r="CU66" i="4"/>
  <c r="CF66" i="4"/>
  <c r="BY66" i="4"/>
  <c r="BX66" i="4"/>
  <c r="BW66" i="4"/>
  <c r="AD66" i="4"/>
  <c r="M66" i="4"/>
  <c r="J66" i="4"/>
  <c r="F66" i="4"/>
  <c r="GJ13" i="4"/>
  <c r="GK13" i="4" s="1"/>
  <c r="GI13" i="4"/>
  <c r="GG13" i="4"/>
  <c r="GF13" i="4" s="1"/>
  <c r="EY13" i="4"/>
  <c r="ER13" i="4"/>
  <c r="EQ13" i="4"/>
  <c r="EP13" i="4"/>
  <c r="EI13" i="4"/>
  <c r="CU13" i="4"/>
  <c r="CF13" i="4"/>
  <c r="BY13" i="4"/>
  <c r="BX13" i="4"/>
  <c r="BW13" i="4"/>
  <c r="BQ13" i="4"/>
  <c r="AD13" i="4"/>
  <c r="M13" i="4"/>
  <c r="J13" i="4"/>
  <c r="F13" i="4"/>
  <c r="GI63" i="4"/>
  <c r="GG63" i="4"/>
  <c r="GF63" i="4" s="1"/>
  <c r="EY63" i="4"/>
  <c r="ER63" i="4"/>
  <c r="EQ63" i="4"/>
  <c r="EP63" i="4"/>
  <c r="EI63" i="4"/>
  <c r="EJ63" i="4" s="1"/>
  <c r="CU63" i="4"/>
  <c r="CF63" i="4"/>
  <c r="BY63" i="4"/>
  <c r="BX63" i="4"/>
  <c r="BW63" i="4"/>
  <c r="BQ63" i="4"/>
  <c r="AD63" i="4"/>
  <c r="M63" i="4"/>
  <c r="J63" i="4"/>
  <c r="F63" i="4"/>
  <c r="GI71" i="4"/>
  <c r="GG71" i="4"/>
  <c r="GF71" i="4" s="1"/>
  <c r="EY71" i="4"/>
  <c r="ER71" i="4"/>
  <c r="EQ71" i="4"/>
  <c r="EP71" i="4"/>
  <c r="EI71" i="4"/>
  <c r="EJ71" i="4" s="1"/>
  <c r="CU71" i="4"/>
  <c r="CF71" i="4"/>
  <c r="BY71" i="4"/>
  <c r="BX71" i="4"/>
  <c r="BW71" i="4"/>
  <c r="AD71" i="4"/>
  <c r="M71" i="4"/>
  <c r="J71" i="4"/>
  <c r="F71" i="4"/>
  <c r="GI58" i="4"/>
  <c r="GG58" i="4"/>
  <c r="GF58" i="4" s="1"/>
  <c r="EY58" i="4"/>
  <c r="ER58" i="4"/>
  <c r="EQ58" i="4"/>
  <c r="EP58" i="4"/>
  <c r="EI58" i="4"/>
  <c r="EJ58" i="4" s="1"/>
  <c r="CU58" i="4"/>
  <c r="CF58" i="4"/>
  <c r="BY58" i="4"/>
  <c r="BX58" i="4"/>
  <c r="BW58" i="4"/>
  <c r="AD58" i="4"/>
  <c r="M58" i="4"/>
  <c r="J58" i="4"/>
  <c r="F58" i="4"/>
  <c r="GJ17" i="4"/>
  <c r="GK17" i="4" s="1"/>
  <c r="GI17" i="4"/>
  <c r="GG17" i="4"/>
  <c r="GF17" i="4" s="1"/>
  <c r="EY17" i="4"/>
  <c r="ER17" i="4"/>
  <c r="EQ17" i="4"/>
  <c r="EP17" i="4"/>
  <c r="EI17" i="4"/>
  <c r="CF17" i="4"/>
  <c r="BY17" i="4"/>
  <c r="BX17" i="4"/>
  <c r="BW17" i="4"/>
  <c r="BQ17" i="4"/>
  <c r="AD17" i="4"/>
  <c r="M17" i="4"/>
  <c r="J17" i="4"/>
  <c r="F17" i="4"/>
  <c r="GI62" i="4"/>
  <c r="GG62" i="4"/>
  <c r="GF62" i="4" s="1"/>
  <c r="EY62" i="4"/>
  <c r="ER62" i="4"/>
  <c r="EQ62" i="4"/>
  <c r="EP62" i="4"/>
  <c r="EI62" i="4"/>
  <c r="EJ62" i="4" s="1"/>
  <c r="CF62" i="4"/>
  <c r="BY62" i="4"/>
  <c r="BX62" i="4"/>
  <c r="BW62" i="4"/>
  <c r="BQ62" i="4"/>
  <c r="AD62" i="4"/>
  <c r="M62" i="4"/>
  <c r="J62" i="4"/>
  <c r="F62" i="4"/>
  <c r="GI91" i="4"/>
  <c r="GG91" i="4"/>
  <c r="GF91" i="4" s="1"/>
  <c r="EY91" i="4"/>
  <c r="ER91" i="4"/>
  <c r="EQ91" i="4"/>
  <c r="EP91" i="4"/>
  <c r="EI91" i="4"/>
  <c r="EJ91" i="4" s="1"/>
  <c r="CU91" i="4"/>
  <c r="CF91" i="4"/>
  <c r="BY91" i="4"/>
  <c r="BX91" i="4"/>
  <c r="BW91" i="4"/>
  <c r="BQ91" i="4"/>
  <c r="AD91" i="4"/>
  <c r="M91" i="4"/>
  <c r="J91" i="4"/>
  <c r="F91" i="4"/>
  <c r="GI70" i="4"/>
  <c r="GG70" i="4"/>
  <c r="GF70" i="4" s="1"/>
  <c r="EY70" i="4"/>
  <c r="ER70" i="4"/>
  <c r="EQ70" i="4"/>
  <c r="EP70" i="4"/>
  <c r="EI70" i="4"/>
  <c r="EJ70" i="4" s="1"/>
  <c r="CF70" i="4"/>
  <c r="BY70" i="4"/>
  <c r="BX70" i="4"/>
  <c r="BW70" i="4"/>
  <c r="AD70" i="4"/>
  <c r="M70" i="4"/>
  <c r="J70" i="4"/>
  <c r="F70" i="4"/>
  <c r="GJ68" i="4"/>
  <c r="GK68" i="4" s="1"/>
  <c r="GI68" i="4"/>
  <c r="GG68" i="4"/>
  <c r="GF68" i="4" s="1"/>
  <c r="EY68" i="4"/>
  <c r="ER68" i="4"/>
  <c r="EQ68" i="4"/>
  <c r="EP68" i="4"/>
  <c r="EI68" i="4"/>
  <c r="EJ68" i="4" s="1"/>
  <c r="CF68" i="4"/>
  <c r="BY68" i="4"/>
  <c r="BX68" i="4"/>
  <c r="BW68" i="4"/>
  <c r="BQ68" i="4"/>
  <c r="AD68" i="4"/>
  <c r="M68" i="4"/>
  <c r="J68" i="4"/>
  <c r="F68" i="4"/>
  <c r="GI65" i="4"/>
  <c r="GG65" i="4"/>
  <c r="GF65" i="4" s="1"/>
  <c r="EY65" i="4"/>
  <c r="ER65" i="4"/>
  <c r="EQ65" i="4"/>
  <c r="EP65" i="4"/>
  <c r="EI65" i="4"/>
  <c r="EJ65" i="4" s="1"/>
  <c r="CU65" i="4"/>
  <c r="CF65" i="4"/>
  <c r="BY65" i="4"/>
  <c r="BX65" i="4"/>
  <c r="BW65" i="4"/>
  <c r="BQ65" i="4"/>
  <c r="AD65" i="4"/>
  <c r="M65" i="4"/>
  <c r="J65" i="4"/>
  <c r="F65" i="4"/>
  <c r="GI80" i="4"/>
  <c r="GG80" i="4"/>
  <c r="GF80" i="4" s="1"/>
  <c r="EY80" i="4"/>
  <c r="ER80" i="4"/>
  <c r="EQ80" i="4"/>
  <c r="EP80" i="4"/>
  <c r="EJ80" i="4"/>
  <c r="CU80" i="4"/>
  <c r="CF80" i="4"/>
  <c r="BY80" i="4"/>
  <c r="BX80" i="4"/>
  <c r="BW80" i="4"/>
  <c r="AD80" i="4"/>
  <c r="M80" i="4"/>
  <c r="J80" i="4"/>
  <c r="F80" i="4"/>
  <c r="GI22" i="4"/>
  <c r="GG22" i="4"/>
  <c r="GF22" i="4" s="1"/>
  <c r="EY22" i="4"/>
  <c r="ER22" i="4"/>
  <c r="EQ22" i="4"/>
  <c r="EP22" i="4"/>
  <c r="EJ22" i="4"/>
  <c r="CU22" i="4"/>
  <c r="CF22" i="4"/>
  <c r="BY22" i="4"/>
  <c r="BX22" i="4"/>
  <c r="BW22" i="4"/>
  <c r="AD22" i="4"/>
  <c r="M22" i="4"/>
  <c r="J22" i="4"/>
  <c r="F22" i="4"/>
  <c r="GJ50" i="4"/>
  <c r="GK50" i="4" s="1"/>
  <c r="GI50" i="4"/>
  <c r="GG50" i="4"/>
  <c r="GF50" i="4" s="1"/>
  <c r="EY50" i="4"/>
  <c r="ER50" i="4"/>
  <c r="EQ50" i="4"/>
  <c r="EP50" i="4"/>
  <c r="EI50" i="4"/>
  <c r="EJ50" i="4" s="1"/>
  <c r="CU50" i="4"/>
  <c r="CF50" i="4"/>
  <c r="BY50" i="4"/>
  <c r="BX50" i="4"/>
  <c r="BW50" i="4"/>
  <c r="BQ50" i="4"/>
  <c r="AD50" i="4"/>
  <c r="M50" i="4"/>
  <c r="J50" i="4"/>
  <c r="F50" i="4"/>
  <c r="GI67" i="4"/>
  <c r="GG67" i="4"/>
  <c r="GF67" i="4" s="1"/>
  <c r="EY67" i="4"/>
  <c r="ER67" i="4"/>
  <c r="EQ67" i="4"/>
  <c r="EP67" i="4"/>
  <c r="EI67" i="4"/>
  <c r="EJ67" i="4" s="1"/>
  <c r="CU67" i="4"/>
  <c r="CF67" i="4"/>
  <c r="BY67" i="4"/>
  <c r="BX67" i="4"/>
  <c r="BW67" i="4"/>
  <c r="AD67" i="4"/>
  <c r="M67" i="4"/>
  <c r="J67" i="4"/>
  <c r="F67" i="4"/>
  <c r="GI75" i="4"/>
  <c r="GG75" i="4"/>
  <c r="GF75" i="4" s="1"/>
  <c r="EY75" i="4"/>
  <c r="ER75" i="4"/>
  <c r="EQ75" i="4"/>
  <c r="EP75" i="4"/>
  <c r="EI75" i="4"/>
  <c r="EJ75" i="4" s="1"/>
  <c r="CF75" i="4"/>
  <c r="BY75" i="4"/>
  <c r="BX75" i="4"/>
  <c r="BW75" i="4"/>
  <c r="BQ75" i="4"/>
  <c r="AD75" i="4"/>
  <c r="M75" i="4"/>
  <c r="J75" i="4"/>
  <c r="F75" i="4"/>
  <c r="GJ64" i="4"/>
  <c r="GK64" i="4" s="1"/>
  <c r="GI64" i="4"/>
  <c r="GG64" i="4"/>
  <c r="GF64" i="4" s="1"/>
  <c r="EY64" i="4"/>
  <c r="ER64" i="4"/>
  <c r="EQ64" i="4"/>
  <c r="EP64" i="4"/>
  <c r="EI64" i="4"/>
  <c r="CU64" i="4"/>
  <c r="CF64" i="4"/>
  <c r="BY64" i="4"/>
  <c r="BX64" i="4"/>
  <c r="BW64" i="4"/>
  <c r="AD64" i="4"/>
  <c r="M64" i="4"/>
  <c r="J64" i="4"/>
  <c r="F64" i="4"/>
  <c r="GI24" i="4"/>
  <c r="GG24" i="4"/>
  <c r="GF24" i="4" s="1"/>
  <c r="EY24" i="4"/>
  <c r="ER24" i="4"/>
  <c r="EQ24" i="4"/>
  <c r="EP24" i="4"/>
  <c r="EJ24" i="4"/>
  <c r="CU24" i="4"/>
  <c r="CF24" i="4"/>
  <c r="BY24" i="4"/>
  <c r="BX24" i="4"/>
  <c r="BW24" i="4"/>
  <c r="BQ24" i="4"/>
  <c r="AD24" i="4"/>
  <c r="M24" i="4"/>
  <c r="J24" i="4"/>
  <c r="F24" i="4"/>
  <c r="GJ78" i="4"/>
  <c r="GK78" i="4" s="1"/>
  <c r="GI78" i="4"/>
  <c r="GG78" i="4"/>
  <c r="GF78" i="4" s="1"/>
  <c r="EY78" i="4"/>
  <c r="ER78" i="4"/>
  <c r="EQ78" i="4"/>
  <c r="EP78" i="4"/>
  <c r="EJ78" i="4"/>
  <c r="CU78" i="4"/>
  <c r="CF78" i="4"/>
  <c r="BY78" i="4"/>
  <c r="BX78" i="4"/>
  <c r="BW78" i="4"/>
  <c r="AD78" i="4"/>
  <c r="M78" i="4"/>
  <c r="J78" i="4"/>
  <c r="F78" i="4"/>
  <c r="GJ29" i="4"/>
  <c r="GK29" i="4" s="1"/>
  <c r="GI29" i="4"/>
  <c r="GG29" i="4"/>
  <c r="GF29" i="4" s="1"/>
  <c r="EY29" i="4"/>
  <c r="ER29" i="4"/>
  <c r="EQ29" i="4"/>
  <c r="EP29" i="4"/>
  <c r="EI29" i="4"/>
  <c r="EJ29" i="4" s="1"/>
  <c r="CU29" i="4"/>
  <c r="CF29" i="4"/>
  <c r="BY29" i="4"/>
  <c r="BX29" i="4"/>
  <c r="BW29" i="4"/>
  <c r="BQ29" i="4"/>
  <c r="AD29" i="4"/>
  <c r="M29" i="4"/>
  <c r="J29" i="4"/>
  <c r="F29" i="4"/>
  <c r="GI20" i="4"/>
  <c r="GG20" i="4"/>
  <c r="GF20" i="4" s="1"/>
  <c r="EY20" i="4"/>
  <c r="ER20" i="4"/>
  <c r="EQ20" i="4"/>
  <c r="EP20" i="4"/>
  <c r="EJ20" i="4"/>
  <c r="CU20" i="4"/>
  <c r="CF20" i="4"/>
  <c r="BY20" i="4"/>
  <c r="BX20" i="4"/>
  <c r="BW20" i="4"/>
  <c r="AD20" i="4"/>
  <c r="M20" i="4"/>
  <c r="J20" i="4"/>
  <c r="F20" i="4"/>
  <c r="GG33" i="4"/>
  <c r="GF33" i="4" s="1"/>
  <c r="EY33" i="4"/>
  <c r="ER33" i="4"/>
  <c r="EQ33" i="4"/>
  <c r="EP33" i="4"/>
  <c r="EI33" i="4"/>
  <c r="CU33" i="4"/>
  <c r="CF33" i="4"/>
  <c r="BY33" i="4"/>
  <c r="BX33" i="4"/>
  <c r="BW33" i="4"/>
  <c r="BQ33" i="4"/>
  <c r="AD33" i="4"/>
  <c r="M33" i="4"/>
  <c r="J33" i="4"/>
  <c r="F33" i="4"/>
  <c r="GJ9" i="4"/>
  <c r="GK9" i="4" s="1"/>
  <c r="GI9" i="4"/>
  <c r="GG9" i="4"/>
  <c r="GF9" i="4" s="1"/>
  <c r="EY9" i="4"/>
  <c r="ER9" i="4"/>
  <c r="EQ9" i="4"/>
  <c r="EP9" i="4"/>
  <c r="EI9" i="4"/>
  <c r="CU9" i="4"/>
  <c r="CF9" i="4"/>
  <c r="BY9" i="4"/>
  <c r="BX9" i="4"/>
  <c r="BW9" i="4"/>
  <c r="AD9" i="4"/>
  <c r="M9" i="4"/>
  <c r="J9" i="4"/>
  <c r="F9" i="4"/>
  <c r="GI92" i="4"/>
  <c r="GG92" i="4"/>
  <c r="GF92" i="4" s="1"/>
  <c r="EY92" i="4"/>
  <c r="ER92" i="4"/>
  <c r="EQ92" i="4"/>
  <c r="EP92" i="4"/>
  <c r="EJ92" i="4"/>
  <c r="CU92" i="4"/>
  <c r="CF92" i="4"/>
  <c r="BY92" i="4"/>
  <c r="BX92" i="4"/>
  <c r="BW92" i="4"/>
  <c r="AD92" i="4"/>
  <c r="M92" i="4"/>
  <c r="J92" i="4"/>
  <c r="F92" i="4"/>
  <c r="GI3" i="4"/>
  <c r="GG3" i="4"/>
  <c r="GF3" i="4" s="1"/>
  <c r="EY3" i="4"/>
  <c r="ER3" i="4"/>
  <c r="EQ3" i="4"/>
  <c r="EP3" i="4"/>
  <c r="EI3" i="4"/>
  <c r="EJ3" i="4" s="1"/>
  <c r="CU3" i="4"/>
  <c r="CF3" i="4"/>
  <c r="BY3" i="4"/>
  <c r="BX3" i="4"/>
  <c r="BW3" i="4"/>
  <c r="BQ3" i="4"/>
  <c r="AD3" i="4"/>
  <c r="M3" i="4"/>
  <c r="J3" i="4"/>
  <c r="F3" i="4"/>
  <c r="GI16" i="4"/>
  <c r="GG16" i="4"/>
  <c r="GF16" i="4" s="1"/>
  <c r="EY16" i="4"/>
  <c r="ER16" i="4"/>
  <c r="EQ16" i="4"/>
  <c r="EP16" i="4"/>
  <c r="EI16" i="4"/>
  <c r="CU16" i="4"/>
  <c r="CF16" i="4"/>
  <c r="BY16" i="4"/>
  <c r="BX16" i="4"/>
  <c r="BW16" i="4"/>
  <c r="BQ16" i="4"/>
  <c r="AD16" i="4"/>
  <c r="M16" i="4"/>
  <c r="J16" i="4"/>
  <c r="F16" i="4"/>
  <c r="GI93" i="4"/>
  <c r="GG93" i="4"/>
  <c r="GF93" i="4" s="1"/>
  <c r="EY93" i="4"/>
  <c r="ER93" i="4"/>
  <c r="EQ93" i="4"/>
  <c r="EP93" i="4"/>
  <c r="EI93" i="4"/>
  <c r="CU93" i="4"/>
  <c r="CF93" i="4"/>
  <c r="BY93" i="4"/>
  <c r="BX93" i="4"/>
  <c r="BW93" i="4"/>
  <c r="AD93" i="4"/>
  <c r="M93" i="4"/>
  <c r="J93" i="4"/>
  <c r="F93" i="4"/>
  <c r="BZ66" i="4" l="1"/>
  <c r="GH57" i="4"/>
  <c r="ES88" i="4"/>
  <c r="ES53" i="4"/>
  <c r="BZ3" i="4"/>
  <c r="BZ33" i="4"/>
  <c r="ES45" i="4"/>
  <c r="ES85" i="4"/>
  <c r="BZ46" i="4"/>
  <c r="GH77" i="4"/>
  <c r="GH48" i="4"/>
  <c r="GH4" i="4"/>
  <c r="ES47" i="4"/>
  <c r="GH85" i="4"/>
  <c r="ES62" i="4"/>
  <c r="BZ51" i="4"/>
  <c r="ES73" i="4"/>
  <c r="ES39" i="4"/>
  <c r="BZ60" i="4"/>
  <c r="BZ61" i="4"/>
  <c r="ES93" i="4"/>
  <c r="ES92" i="4"/>
  <c r="BZ78" i="4"/>
  <c r="BZ40" i="4"/>
  <c r="ES27" i="4"/>
  <c r="BZ89" i="4"/>
  <c r="BZ57" i="4"/>
  <c r="GH67" i="4"/>
  <c r="GH79" i="4"/>
  <c r="GH83" i="4"/>
  <c r="BZ95" i="4"/>
  <c r="ES74" i="4"/>
  <c r="BZ58" i="4"/>
  <c r="GH81" i="4"/>
  <c r="BZ21" i="4"/>
  <c r="ES14" i="4"/>
  <c r="BZ73" i="4"/>
  <c r="BZ47" i="4"/>
  <c r="ES42" i="4"/>
  <c r="ES84" i="4"/>
  <c r="ES78" i="4"/>
  <c r="ES75" i="4"/>
  <c r="ES22" i="4"/>
  <c r="GH76" i="4"/>
  <c r="BZ25" i="4"/>
  <c r="ES11" i="4"/>
  <c r="ES35" i="4"/>
  <c r="GH3" i="4"/>
  <c r="BZ65" i="4"/>
  <c r="GH7" i="4"/>
  <c r="GH30" i="4"/>
  <c r="ES63" i="4"/>
  <c r="BZ76" i="4"/>
  <c r="ES12" i="4"/>
  <c r="ES69" i="4"/>
  <c r="ES72" i="4"/>
  <c r="GH71" i="4"/>
  <c r="ES18" i="4"/>
  <c r="ES56" i="4"/>
  <c r="BZ48" i="4"/>
  <c r="GH62" i="4"/>
  <c r="GH94" i="4"/>
  <c r="ES19" i="4"/>
  <c r="BZ67" i="4"/>
  <c r="ES50" i="4"/>
  <c r="ES58" i="4"/>
  <c r="ES15" i="4"/>
  <c r="ES41" i="4"/>
  <c r="BZ7" i="4"/>
  <c r="GH69" i="4"/>
  <c r="GH92" i="4"/>
  <c r="BZ17" i="4"/>
  <c r="BZ63" i="4"/>
  <c r="BZ94" i="4"/>
  <c r="ES8" i="4"/>
  <c r="BZ11" i="4"/>
  <c r="BZ35" i="4"/>
  <c r="BZ86" i="4"/>
  <c r="ES83" i="4"/>
  <c r="BZ39" i="4"/>
  <c r="ES49" i="4"/>
  <c r="BZ18" i="4"/>
  <c r="BZ16" i="4"/>
  <c r="ES3" i="4"/>
  <c r="BZ9" i="4"/>
  <c r="GH65" i="4"/>
  <c r="BZ19" i="4"/>
  <c r="BZ24" i="4"/>
  <c r="GH6" i="4"/>
  <c r="GH80" i="4"/>
  <c r="GH56" i="4"/>
  <c r="GH22" i="4"/>
  <c r="GH44" i="4"/>
  <c r="GH88" i="4"/>
  <c r="ES67" i="4"/>
  <c r="BZ22" i="4"/>
  <c r="BZ49" i="4"/>
  <c r="ES5" i="4"/>
  <c r="ES23" i="4"/>
  <c r="GH34" i="4"/>
  <c r="ES61" i="4"/>
  <c r="BZ42" i="4"/>
  <c r="ES55" i="4"/>
  <c r="ES43" i="4"/>
  <c r="GH24" i="4"/>
  <c r="GH50" i="4"/>
  <c r="GH49" i="4"/>
  <c r="GH36" i="4"/>
  <c r="BZ92" i="4"/>
  <c r="GH13" i="4"/>
  <c r="ES31" i="4"/>
  <c r="BZ41" i="4"/>
  <c r="BZ36" i="4"/>
  <c r="GH51" i="4"/>
  <c r="BZ71" i="4"/>
  <c r="ES30" i="4"/>
  <c r="ES91" i="4"/>
  <c r="ES64" i="4"/>
  <c r="ES80" i="4"/>
  <c r="ES33" i="4"/>
  <c r="BZ27" i="4"/>
  <c r="BZ93" i="4"/>
  <c r="ES20" i="4"/>
  <c r="GH45" i="4"/>
  <c r="GH53" i="4"/>
  <c r="BZ54" i="4"/>
  <c r="GH26" i="4"/>
  <c r="BZ75" i="4"/>
  <c r="ES46" i="4"/>
  <c r="GH75" i="4"/>
  <c r="GH70" i="4"/>
  <c r="GH33" i="4"/>
  <c r="ES66" i="4"/>
  <c r="GH27" i="4"/>
  <c r="BZ23" i="4"/>
  <c r="ES26" i="4"/>
  <c r="GH82" i="4"/>
  <c r="BZ77" i="4"/>
  <c r="BZ90" i="4"/>
  <c r="BZ50" i="4"/>
  <c r="GH54" i="4"/>
  <c r="BZ52" i="4"/>
  <c r="ES10" i="4"/>
  <c r="ES32" i="4"/>
  <c r="GH89" i="4"/>
  <c r="GH52" i="4"/>
  <c r="ES59" i="4"/>
  <c r="GH40" i="4"/>
  <c r="BZ74" i="4"/>
  <c r="GH38" i="4"/>
  <c r="GH63" i="4"/>
  <c r="BZ45" i="4"/>
  <c r="GH10" i="4"/>
  <c r="GH23" i="4"/>
  <c r="GH18" i="4"/>
  <c r="GH11" i="4"/>
  <c r="GH93" i="4"/>
  <c r="BZ80" i="4"/>
  <c r="ES65" i="4"/>
  <c r="BZ70" i="4"/>
  <c r="BZ53" i="4"/>
  <c r="GH37" i="4"/>
  <c r="ES44" i="4"/>
  <c r="GH41" i="4"/>
  <c r="ES60" i="4"/>
  <c r="GH61" i="4"/>
  <c r="BZ69" i="4"/>
  <c r="BZ87" i="4"/>
  <c r="BZ88" i="4"/>
  <c r="ES52" i="4"/>
  <c r="ES38" i="4"/>
  <c r="BZ59" i="4"/>
  <c r="BZ30" i="4"/>
  <c r="GH78" i="4"/>
  <c r="ES95" i="4"/>
  <c r="GH28" i="4"/>
  <c r="BZ85" i="4"/>
  <c r="ES54" i="4"/>
  <c r="ES40" i="4"/>
  <c r="BZ8" i="4"/>
  <c r="BZ44" i="4"/>
  <c r="BZ14" i="4"/>
  <c r="BZ55" i="4"/>
  <c r="BZ83" i="4"/>
  <c r="GH59" i="4"/>
  <c r="ES37" i="4"/>
  <c r="ES29" i="4"/>
  <c r="ES13" i="4"/>
  <c r="GH39" i="4"/>
  <c r="GH35" i="4"/>
  <c r="BZ5" i="4"/>
  <c r="ES34" i="4"/>
  <c r="ES81" i="4"/>
  <c r="ES82" i="4"/>
  <c r="BZ56" i="4"/>
  <c r="GH47" i="4"/>
  <c r="ES79" i="4"/>
  <c r="GH46" i="4"/>
  <c r="GH58" i="4"/>
  <c r="GH32" i="4"/>
  <c r="BZ20" i="4"/>
  <c r="BZ29" i="4"/>
  <c r="ES24" i="4"/>
  <c r="GH64" i="4"/>
  <c r="BZ62" i="4"/>
  <c r="ES71" i="4"/>
  <c r="BZ12" i="4"/>
  <c r="ES6" i="4"/>
  <c r="BZ37" i="4"/>
  <c r="GH5" i="4"/>
  <c r="ES7" i="4"/>
  <c r="BZ84" i="4"/>
  <c r="GH55" i="4"/>
  <c r="ES77" i="4"/>
  <c r="GH91" i="4"/>
  <c r="BZ32" i="4"/>
  <c r="GH43" i="4"/>
  <c r="GH9" i="4"/>
  <c r="BZ10" i="4"/>
  <c r="ES94" i="4"/>
  <c r="BZ15" i="4"/>
  <c r="ES89" i="4"/>
  <c r="BZ81" i="4"/>
  <c r="ES4" i="4"/>
  <c r="GH25" i="4"/>
  <c r="BZ64" i="4"/>
  <c r="BZ68" i="4"/>
  <c r="GH17" i="4"/>
  <c r="GH31" i="4"/>
  <c r="ES36" i="4"/>
  <c r="BZ34" i="4"/>
  <c r="GH72" i="4"/>
  <c r="ES90" i="4"/>
  <c r="BZ79" i="4"/>
  <c r="BZ4" i="4"/>
  <c r="BZ91" i="4"/>
  <c r="GH29" i="4"/>
  <c r="ES16" i="4"/>
  <c r="ES70" i="4"/>
  <c r="ES25" i="4"/>
  <c r="BZ72" i="4"/>
  <c r="ES86" i="4"/>
  <c r="ES28" i="4"/>
  <c r="ES48" i="4"/>
  <c r="GH84" i="4"/>
  <c r="GH86" i="4"/>
  <c r="BZ31" i="4"/>
  <c r="BZ6" i="4"/>
  <c r="GH21" i="4"/>
  <c r="GH87" i="4"/>
  <c r="BZ82" i="4"/>
  <c r="GH74" i="4"/>
  <c r="ES68" i="4"/>
  <c r="ES87" i="4"/>
  <c r="ES17" i="4"/>
  <c r="BZ43" i="4"/>
  <c r="GH20" i="4"/>
  <c r="GH8" i="4"/>
  <c r="GH16" i="4"/>
  <c r="GH68" i="4"/>
  <c r="GH42" i="4"/>
  <c r="GH90" i="4"/>
  <c r="GH95" i="4"/>
  <c r="GH66" i="4"/>
  <c r="GH19" i="4"/>
  <c r="ES9" i="4"/>
  <c r="BZ13" i="4"/>
  <c r="ES76" i="4"/>
  <c r="GH12" i="4"/>
  <c r="BZ26" i="4"/>
  <c r="GH60" i="4"/>
  <c r="ES21" i="4"/>
  <c r="GH14" i="4"/>
  <c r="ES51" i="4"/>
  <c r="GH73" i="4"/>
  <c r="GH15" i="4"/>
  <c r="BZ28" i="4"/>
  <c r="ES57" i="4"/>
</calcChain>
</file>

<file path=xl/sharedStrings.xml><?xml version="1.0" encoding="utf-8"?>
<sst xmlns="http://schemas.openxmlformats.org/spreadsheetml/2006/main" count="1189" uniqueCount="522">
  <si>
    <t>N20-0121804</t>
  </si>
  <si>
    <t>TRẦN VÂN KHÁNH</t>
  </si>
  <si>
    <t>N20-0032017</t>
  </si>
  <si>
    <t>TRẦN THỊ KIỂU</t>
  </si>
  <si>
    <t>N18-0091192</t>
  </si>
  <si>
    <t>ĐOÀN KIM THUẬN</t>
  </si>
  <si>
    <t>N18-0247320</t>
  </si>
  <si>
    <t>NGO VAN ANH</t>
  </si>
  <si>
    <t>N19-0373890</t>
  </si>
  <si>
    <t>NGUYỄN THỊ MỘNG TRẦM</t>
  </si>
  <si>
    <t>NGUYEN THI THUY TRANG</t>
  </si>
  <si>
    <t>N20-0270893</t>
  </si>
  <si>
    <t>LAM MY PHUNG</t>
  </si>
  <si>
    <t>N19-0054321</t>
  </si>
  <si>
    <t>NGUYEN HOAN</t>
  </si>
  <si>
    <t>N18-0040553</t>
  </si>
  <si>
    <t>PHẠM MINH TUẤN</t>
  </si>
  <si>
    <t>N18-0222333</t>
  </si>
  <si>
    <t>PHÙNG VĂN LỢI</t>
  </si>
  <si>
    <t>N16-0385963</t>
  </si>
  <si>
    <t>TANG HAI LINH</t>
  </si>
  <si>
    <t>N21-0171523</t>
  </si>
  <si>
    <t>CHAU LE KHANH NGOC</t>
  </si>
  <si>
    <t>N20-0018236</t>
  </si>
  <si>
    <t>LÊ VĂN TẤT LINH</t>
  </si>
  <si>
    <t>B12-0021372</t>
  </si>
  <si>
    <t>NGUYỄN THỊ PHƯỢNG</t>
  </si>
  <si>
    <t>N20-0018239</t>
  </si>
  <si>
    <t>TRẦN VĂN THOẠI</t>
  </si>
  <si>
    <t>N20-0298207</t>
  </si>
  <si>
    <t>PHAN THÀNH NHÂN</t>
  </si>
  <si>
    <t>N20-0040807</t>
  </si>
  <si>
    <t>QUÁCH KIM EM</t>
  </si>
  <si>
    <t>N20-0038282</t>
  </si>
  <si>
    <t>TRẦN VĂN TOÁN</t>
  </si>
  <si>
    <t>N17-0069547</t>
  </si>
  <si>
    <t>NGUYEN TAN DA</t>
  </si>
  <si>
    <t>N13-0083287</t>
  </si>
  <si>
    <t>PHẠM THỊ KIM HOA</t>
  </si>
  <si>
    <t>N14-0334103</t>
  </si>
  <si>
    <t>NGUYỄN VĂN PHÚ QUÝ</t>
  </si>
  <si>
    <t>N23-0063981</t>
  </si>
  <si>
    <t>DINH TU HAI</t>
  </si>
  <si>
    <t>N20-0175626</t>
  </si>
  <si>
    <t>VÕ THANH NHÂN</t>
  </si>
  <si>
    <t>N22-0077911</t>
  </si>
  <si>
    <t>LI DONGNENG</t>
  </si>
  <si>
    <t>N15-0094240</t>
  </si>
  <si>
    <t>TRAN THI NGOC</t>
  </si>
  <si>
    <t>N21-0120247</t>
  </si>
  <si>
    <t>NGUYỄN ĐỨC HƯNG QUANG</t>
  </si>
  <si>
    <t>N13-0141799</t>
  </si>
  <si>
    <t>TẠ MINH VĨNH</t>
  </si>
  <si>
    <t>STT</t>
  </si>
  <si>
    <t>Albumin</t>
  </si>
  <si>
    <t>LDH</t>
  </si>
  <si>
    <t>AST</t>
  </si>
  <si>
    <t>ALT</t>
  </si>
  <si>
    <t>Bilirubin TP</t>
  </si>
  <si>
    <t>Bilirubin TT</t>
  </si>
  <si>
    <t>Calci</t>
  </si>
  <si>
    <t>can_nang</t>
  </si>
  <si>
    <t>chieu_cao</t>
  </si>
  <si>
    <t>BMI</t>
  </si>
  <si>
    <t>THA</t>
  </si>
  <si>
    <t>DTD</t>
  </si>
  <si>
    <t>alchohol</t>
  </si>
  <si>
    <t>soi_mat</t>
  </si>
  <si>
    <t>Rl_lipid</t>
  </si>
  <si>
    <t>use_tranhthai</t>
  </si>
  <si>
    <t>tiensu_vtc</t>
  </si>
  <si>
    <t>solan_VTC</t>
  </si>
  <si>
    <t>nhap_vien</t>
  </si>
  <si>
    <t>gio_khoi_phat</t>
  </si>
  <si>
    <t>So_lan_PEX</t>
  </si>
  <si>
    <t>LOS</t>
  </si>
  <si>
    <t>nhiet_do</t>
  </si>
  <si>
    <t>dau_bung</t>
  </si>
  <si>
    <t>non_oi</t>
  </si>
  <si>
    <t>sot</t>
  </si>
  <si>
    <t>wbc</t>
  </si>
  <si>
    <t>rbc</t>
  </si>
  <si>
    <t>hb</t>
  </si>
  <si>
    <t>hct</t>
  </si>
  <si>
    <t>plt</t>
  </si>
  <si>
    <t>pt</t>
  </si>
  <si>
    <t>aptt</t>
  </si>
  <si>
    <t>fibrinogen</t>
  </si>
  <si>
    <t>crp</t>
  </si>
  <si>
    <t>procalcitonin</t>
  </si>
  <si>
    <t>ure</t>
  </si>
  <si>
    <t>creatinin</t>
  </si>
  <si>
    <t>egfr</t>
  </si>
  <si>
    <t>na</t>
  </si>
  <si>
    <t>kali</t>
  </si>
  <si>
    <t>cl</t>
  </si>
  <si>
    <t>amylase</t>
  </si>
  <si>
    <t>lipase</t>
  </si>
  <si>
    <t>glucose</t>
  </si>
  <si>
    <t>hba1c</t>
  </si>
  <si>
    <t>ceton</t>
  </si>
  <si>
    <t>pH</t>
  </si>
  <si>
    <t>pco2</t>
  </si>
  <si>
    <t>po2</t>
  </si>
  <si>
    <t>hco3</t>
  </si>
  <si>
    <t>fio2</t>
  </si>
  <si>
    <t>lactate</t>
  </si>
  <si>
    <t>APACHE II</t>
  </si>
  <si>
    <t>mor_du_doan_1</t>
  </si>
  <si>
    <t>MOF_Tim</t>
  </si>
  <si>
    <t>MOF_Phoi</t>
  </si>
  <si>
    <t>MOF_Than</t>
  </si>
  <si>
    <t>B</t>
  </si>
  <si>
    <t>I</t>
  </si>
  <si>
    <t>S</t>
  </si>
  <si>
    <t>A</t>
  </si>
  <si>
    <t>P</t>
  </si>
  <si>
    <t>BISAP</t>
  </si>
  <si>
    <t>RANSON</t>
  </si>
  <si>
    <t>SOFA</t>
  </si>
  <si>
    <t>hoại tử</t>
  </si>
  <si>
    <t>phù nề</t>
  </si>
  <si>
    <t>tụ dịch</t>
  </si>
  <si>
    <t>co_thai</t>
  </si>
  <si>
    <t>Balthazar</t>
  </si>
  <si>
    <t>onset_pex</t>
  </si>
  <si>
    <t>machine</t>
  </si>
  <si>
    <t>loai_qualoc</t>
  </si>
  <si>
    <t>vị_tri_cathter</t>
  </si>
  <si>
    <t>solution</t>
  </si>
  <si>
    <t>v_huyettuong</t>
  </si>
  <si>
    <t>thay the</t>
  </si>
  <si>
    <t>v_thaythe</t>
  </si>
  <si>
    <t>heparin_bolus</t>
  </si>
  <si>
    <t>heparin_duytri</t>
  </si>
  <si>
    <t>so_qualoc</t>
  </si>
  <si>
    <t>crrt</t>
  </si>
  <si>
    <t>thoigian_loc</t>
  </si>
  <si>
    <t>wbc_1</t>
  </si>
  <si>
    <t>rbc_1</t>
  </si>
  <si>
    <t>hb_1</t>
  </si>
  <si>
    <t>hct_1</t>
  </si>
  <si>
    <t>plt_1</t>
  </si>
  <si>
    <t>pt_1</t>
  </si>
  <si>
    <t>appt_1</t>
  </si>
  <si>
    <t>crp_1</t>
  </si>
  <si>
    <t>fibrinogen_1</t>
  </si>
  <si>
    <t>ure_1</t>
  </si>
  <si>
    <t>creatinin_1</t>
  </si>
  <si>
    <t>efgr_1</t>
  </si>
  <si>
    <t>na_1</t>
  </si>
  <si>
    <t>kali_1</t>
  </si>
  <si>
    <t>cl_1</t>
  </si>
  <si>
    <t>amylase_1</t>
  </si>
  <si>
    <t>lipase_1</t>
  </si>
  <si>
    <t>TG sau PEX1</t>
  </si>
  <si>
    <t>ph_1</t>
  </si>
  <si>
    <t>paco2_1</t>
  </si>
  <si>
    <t>pao2_1</t>
  </si>
  <si>
    <t>hco3_1</t>
  </si>
  <si>
    <t>pf_1</t>
  </si>
  <si>
    <t>fio2_1</t>
  </si>
  <si>
    <t>lactate_1</t>
  </si>
  <si>
    <t>gcs_1</t>
  </si>
  <si>
    <t>APACHE II_1</t>
  </si>
  <si>
    <t>mor_du_doan_2</t>
  </si>
  <si>
    <t>onset_pex_1</t>
  </si>
  <si>
    <t>solution_3</t>
  </si>
  <si>
    <t>WBC_2</t>
  </si>
  <si>
    <t>hb_2</t>
  </si>
  <si>
    <t>hct_2</t>
  </si>
  <si>
    <t>plt_2</t>
  </si>
  <si>
    <t>pt_2</t>
  </si>
  <si>
    <t>aptt_2</t>
  </si>
  <si>
    <t>crp_2</t>
  </si>
  <si>
    <t>gibrinogen_2</t>
  </si>
  <si>
    <t>ure_2</t>
  </si>
  <si>
    <t>creatinin_2</t>
  </si>
  <si>
    <t>egfr_2</t>
  </si>
  <si>
    <t>na_2</t>
  </si>
  <si>
    <t>kali_2</t>
  </si>
  <si>
    <t>cl_2</t>
  </si>
  <si>
    <t>amylase_2</t>
  </si>
  <si>
    <t>lipase_2</t>
  </si>
  <si>
    <t>TG sau PEX2</t>
  </si>
  <si>
    <t>ph_2</t>
  </si>
  <si>
    <t>paco2_2</t>
  </si>
  <si>
    <t>pao2_2</t>
  </si>
  <si>
    <t>hco3_2</t>
  </si>
  <si>
    <t>fio2_2</t>
  </si>
  <si>
    <t>pf_2</t>
  </si>
  <si>
    <t>lactate_2</t>
  </si>
  <si>
    <t>gcs_2</t>
  </si>
  <si>
    <t>mor_du_doan_3</t>
  </si>
  <si>
    <t>% TG giam</t>
  </si>
  <si>
    <t>TG giam</t>
  </si>
  <si>
    <t>BISAP giam</t>
  </si>
  <si>
    <t>apagiam</t>
  </si>
  <si>
    <t>apa2 giam</t>
  </si>
  <si>
    <t>%apa2 giam</t>
  </si>
  <si>
    <t>Buôn bán</t>
  </si>
  <si>
    <t>Trà Vinh</t>
  </si>
  <si>
    <t>8h 5/2</t>
  </si>
  <si>
    <t>E</t>
  </si>
  <si>
    <t>19h 5/2</t>
  </si>
  <si>
    <t>Diapact</t>
  </si>
  <si>
    <t>Hemoselect</t>
  </si>
  <si>
    <t>tmdp</t>
  </si>
  <si>
    <t>ffp</t>
  </si>
  <si>
    <t>alb</t>
  </si>
  <si>
    <t>DANG XUAN TIEN</t>
  </si>
  <si>
    <t>Lao động</t>
  </si>
  <si>
    <t>Đồng Nai</t>
  </si>
  <si>
    <t>16h 16/12/2019</t>
  </si>
  <si>
    <t>C</t>
  </si>
  <si>
    <t xml:space="preserve">1h 17/12 </t>
  </si>
  <si>
    <t>10h 17/12 12h 18/12</t>
  </si>
  <si>
    <t>PHAM THI HANG</t>
  </si>
  <si>
    <t>13h 25/2</t>
  </si>
  <si>
    <t>D</t>
  </si>
  <si>
    <t>25/2</t>
  </si>
  <si>
    <t>12h 26/2</t>
  </si>
  <si>
    <t>Bến Tre</t>
  </si>
  <si>
    <t>3h 25/6</t>
  </si>
  <si>
    <t>17h 25/6</t>
  </si>
  <si>
    <t>OMNIset TPE</t>
  </si>
  <si>
    <t>12h 26/7</t>
  </si>
  <si>
    <t>8h 1/7/2020</t>
  </si>
  <si>
    <t>19h 2/7</t>
  </si>
  <si>
    <t>12h 3/7</t>
  </si>
  <si>
    <t>NGUYEN THI THUY DUNG</t>
  </si>
  <si>
    <t>23h 5/7/2021</t>
  </si>
  <si>
    <t>6h 6/7</t>
  </si>
  <si>
    <t>12h 6/7</t>
  </si>
  <si>
    <t>Tp.HCM</t>
  </si>
  <si>
    <t>Prismaflex</t>
  </si>
  <si>
    <t>PrismaFlex TPE 2000</t>
  </si>
  <si>
    <t>văn phòng</t>
  </si>
  <si>
    <t>17h 22/2</t>
  </si>
  <si>
    <t>1h 23/6</t>
  </si>
  <si>
    <t>24/6</t>
  </si>
  <si>
    <t>N20-0072193</t>
  </si>
  <si>
    <t>NGUYỄN THỌ KHANH</t>
  </si>
  <si>
    <t>HA THI DUC</t>
  </si>
  <si>
    <t>tmdt</t>
  </si>
  <si>
    <t>4h 25/6/2020</t>
  </si>
  <si>
    <t>11h 26/5</t>
  </si>
  <si>
    <t>Gia Lai</t>
  </si>
  <si>
    <t>6h 22/5/2022</t>
  </si>
  <si>
    <t>21h 23/5</t>
  </si>
  <si>
    <t>12h 24/5</t>
  </si>
  <si>
    <t>Bình Thuận</t>
  </si>
  <si>
    <t>21h 16/12/2021</t>
  </si>
  <si>
    <t>7h 17/12</t>
  </si>
  <si>
    <t>14h 18/12</t>
  </si>
  <si>
    <t>TRAN THI DUNG</t>
  </si>
  <si>
    <t>20h 8/6</t>
  </si>
  <si>
    <t>15h 9/6</t>
  </si>
  <si>
    <t>26/3/2022</t>
  </si>
  <si>
    <t>22h 26/3</t>
  </si>
  <si>
    <t>17h 27/3</t>
  </si>
  <si>
    <t>Hóc Môn</t>
  </si>
  <si>
    <t>13h 11/10/2021</t>
  </si>
  <si>
    <t>20h 11/10</t>
  </si>
  <si>
    <t>7h 12/10</t>
  </si>
  <si>
    <t>LE THANH TUNG</t>
  </si>
  <si>
    <t>THAI NGOC THAO</t>
  </si>
  <si>
    <t>23h 19/8</t>
  </si>
  <si>
    <t>Bình Phước</t>
  </si>
  <si>
    <t>13h 18/8/2019</t>
  </si>
  <si>
    <t>19h 9/8</t>
  </si>
  <si>
    <t>B18-0012370</t>
  </si>
  <si>
    <t>PHẠM NHẬT TIẾN</t>
  </si>
  <si>
    <t>An Giang</t>
  </si>
  <si>
    <t>VUONG VAN CHAU</t>
  </si>
  <si>
    <t>Bạc Liêu</t>
  </si>
  <si>
    <t>08-08-2021 10h</t>
  </si>
  <si>
    <t>16h30 9/8</t>
  </si>
  <si>
    <t>Tây Ninh</t>
  </si>
  <si>
    <t>21h 16/8/2021</t>
  </si>
  <si>
    <t>8h 17/8</t>
  </si>
  <si>
    <t>N20-0245812</t>
  </si>
  <si>
    <t>TRẦN NGUYÊN PHƯƠNG</t>
  </si>
  <si>
    <t>18h45 24/11</t>
  </si>
  <si>
    <t>1h 7/7</t>
  </si>
  <si>
    <t>6</t>
  </si>
  <si>
    <t>Tiền Giang</t>
  </si>
  <si>
    <t>7h 14/4</t>
  </si>
  <si>
    <t>18h 14/4</t>
  </si>
  <si>
    <t>TU THI TRUC PHUONG</t>
  </si>
  <si>
    <t>13h 13/7/2021</t>
  </si>
  <si>
    <t>1h 14/7</t>
  </si>
  <si>
    <t>DAO THI THANH</t>
  </si>
  <si>
    <t>Lâm Đồng</t>
  </si>
  <si>
    <t>15h 18/4/2020</t>
  </si>
  <si>
    <t>23h 8/4</t>
  </si>
  <si>
    <t>N20-0296487</t>
  </si>
  <si>
    <t>PHẠM LƯƠNG BẰNG</t>
  </si>
  <si>
    <t>17h 27/8/2019</t>
  </si>
  <si>
    <t>1h 28/8</t>
  </si>
  <si>
    <t>NGUYỄN THANH NHÀN</t>
  </si>
  <si>
    <t>Bình Dương</t>
  </si>
  <si>
    <t>8h 18/3/2022</t>
  </si>
  <si>
    <t>23h30 18/3</t>
  </si>
  <si>
    <t>N16-0095668</t>
  </si>
  <si>
    <t>LÂM THANH NGHỊ</t>
  </si>
  <si>
    <t>21h 26/6/2020</t>
  </si>
  <si>
    <t>20h 28/6</t>
  </si>
  <si>
    <t>PHAM HUU LIA EM</t>
  </si>
  <si>
    <t>17h 4/5/2022</t>
  </si>
  <si>
    <t>3h 5/5</t>
  </si>
  <si>
    <t>MAI PHAN THE HUNG</t>
  </si>
  <si>
    <t>Đắk Nông</t>
  </si>
  <si>
    <t>2h 13/1/2023</t>
  </si>
  <si>
    <t>7h 13/1</t>
  </si>
  <si>
    <t>TRUONG THANH SON</t>
  </si>
  <si>
    <t>Vũng Tàu</t>
  </si>
  <si>
    <t>20h 4/10/2022</t>
  </si>
  <si>
    <t>23h 21/4/2020</t>
  </si>
  <si>
    <t>14h 22/4</t>
  </si>
  <si>
    <t>NGUYEN THI KHUYEN</t>
  </si>
  <si>
    <t>19h 15/9/2020</t>
  </si>
  <si>
    <t>20h 16/9</t>
  </si>
  <si>
    <t>N19-0295520</t>
  </si>
  <si>
    <t>NGUYỄN HUỲNH TRÂM</t>
  </si>
  <si>
    <t>TRAN KIM SI</t>
  </si>
  <si>
    <t>16h 30/3/2023</t>
  </si>
  <si>
    <t>1h 1/4</t>
  </si>
  <si>
    <t>16h 14/2/2019</t>
  </si>
  <si>
    <t>23h 15/2</t>
  </si>
  <si>
    <t>20h 15/8</t>
  </si>
  <si>
    <t>23h 15/8</t>
  </si>
  <si>
    <t>1h30 ngày 14</t>
  </si>
  <si>
    <t>N18-0041366</t>
  </si>
  <si>
    <t>TRẦN VĂN THÀNH</t>
  </si>
  <si>
    <t>1.81 </t>
  </si>
  <si>
    <t>14h 24/4</t>
  </si>
  <si>
    <t>1.33 </t>
  </si>
  <si>
    <t>8h 25/4</t>
  </si>
  <si>
    <t>PHAN CONG THUAN</t>
  </si>
  <si>
    <t>14h 2/2/2021</t>
  </si>
  <si>
    <t>13h 3/2</t>
  </si>
  <si>
    <t>N18-0130749</t>
  </si>
  <si>
    <t>3h 5/12/2019</t>
  </si>
  <si>
    <t>8h 5/12</t>
  </si>
  <si>
    <t>LE PHUOC BINH</t>
  </si>
  <si>
    <t>6h 4/3</t>
  </si>
  <si>
    <t>22h 9/8/2021</t>
  </si>
  <si>
    <t>8h 10/8</t>
  </si>
  <si>
    <t>VO VAN HAI</t>
  </si>
  <si>
    <t>Đồng Tháp</t>
  </si>
  <si>
    <t>20h30 18/2/2022</t>
  </si>
  <si>
    <t>1h10 20/2/2022</t>
  </si>
  <si>
    <t>NGUYEN XUAN DAO</t>
  </si>
  <si>
    <t>10h 3/8/2022</t>
  </si>
  <si>
    <t>NGUYEN THI LE TRINH</t>
  </si>
  <si>
    <t>23h50 17/4/2022</t>
  </si>
  <si>
    <t>NGUYEN VAN TU</t>
  </si>
  <si>
    <t>1H 3/6.2019</t>
  </si>
  <si>
    <t>9h 4/6</t>
  </si>
  <si>
    <t>VAN KIM</t>
  </si>
  <si>
    <t>0h30 17/11/22</t>
  </si>
  <si>
    <t>NGUYEN VAN GIANG</t>
  </si>
  <si>
    <t>9h30 2/9</t>
  </si>
  <si>
    <t>12h 11/8</t>
  </si>
  <si>
    <t>TRAN PHONG NHA</t>
  </si>
  <si>
    <t>13h 13/8/2019</t>
  </si>
  <si>
    <t>22h 13/8</t>
  </si>
  <si>
    <t>5h 16/4</t>
  </si>
  <si>
    <t>20h 17/4</t>
  </si>
  <si>
    <t>22h 19/7</t>
  </si>
  <si>
    <t>1h 21/7</t>
  </si>
  <si>
    <t>NGUYEN CAO VINH</t>
  </si>
  <si>
    <t>N20-0121771</t>
  </si>
  <si>
    <t>PHẠM DUY KHÁNH</t>
  </si>
  <si>
    <t>23h 7/10</t>
  </si>
  <si>
    <t>13h 8/10</t>
  </si>
  <si>
    <t>NGUYỄN THANH SƠN</t>
  </si>
  <si>
    <t>MAI NHU ANH TUAN</t>
  </si>
  <si>
    <t>Long An</t>
  </si>
  <si>
    <t>17h 23/10</t>
  </si>
  <si>
    <t>13h 25/10</t>
  </si>
  <si>
    <t>72h</t>
  </si>
  <si>
    <t>20h 26/2</t>
  </si>
  <si>
    <t>22h 26/2</t>
  </si>
  <si>
    <t>NGUYEN VAN CONG</t>
  </si>
  <si>
    <t>LA TRONG NGHIA</t>
  </si>
  <si>
    <t>N16-0199858</t>
  </si>
  <si>
    <t>19.05/2019</t>
  </si>
  <si>
    <t>23h</t>
  </si>
  <si>
    <t>NGUYEN HOANG AN</t>
  </si>
  <si>
    <t>DANG VAN DONG</t>
  </si>
  <si>
    <t>Thủ Đức</t>
  </si>
  <si>
    <t>13h 5/10/2021</t>
  </si>
  <si>
    <t>20h 5/10</t>
  </si>
  <si>
    <t>6h 12/11</t>
  </si>
  <si>
    <t>15h 12/11</t>
  </si>
  <si>
    <t>tmcp</t>
  </si>
  <si>
    <t>30/9/2022</t>
  </si>
  <si>
    <t>HO HAI HUNG</t>
  </si>
  <si>
    <t>N18-0444036</t>
  </si>
  <si>
    <t>LÊ MINH TÂM</t>
  </si>
  <si>
    <t>N16-0021766</t>
  </si>
  <si>
    <t>HỒ VIẾT THẮNG</t>
  </si>
  <si>
    <t>NGO SON QUANG</t>
  </si>
  <si>
    <t>NGUYEN PHUOC SANG</t>
  </si>
  <si>
    <t>29/04/2019</t>
  </si>
  <si>
    <t>18h</t>
  </si>
  <si>
    <t>222007 5032</t>
  </si>
  <si>
    <t>PHAM VAN HUNG</t>
  </si>
  <si>
    <t>Hải Phòng</t>
  </si>
  <si>
    <t>10h 1/3/2022</t>
  </si>
  <si>
    <t>17h 1/3/2022</t>
  </si>
  <si>
    <t>HUYNH TRI</t>
  </si>
  <si>
    <t>18h 1/7/2020</t>
  </si>
  <si>
    <t>23h 1/7</t>
  </si>
  <si>
    <t>18h15</t>
  </si>
  <si>
    <t>NGUYEN VAN LUA</t>
  </si>
  <si>
    <t>12/6/2022 12h</t>
  </si>
  <si>
    <t>1h 1/2</t>
  </si>
  <si>
    <t>17h 1/2</t>
  </si>
  <si>
    <t>21h 6/6/23</t>
  </si>
  <si>
    <t>2h 7/6/23</t>
  </si>
  <si>
    <t>TU VAN KHANH</t>
  </si>
  <si>
    <t>23h45 7/7</t>
  </si>
  <si>
    <t>2h 16/5</t>
  </si>
  <si>
    <t>17h 16/5</t>
  </si>
  <si>
    <t>13h 21/4</t>
  </si>
  <si>
    <t>20h 22/4</t>
  </si>
  <si>
    <t>12h 29/1/23</t>
  </si>
  <si>
    <t>11h 31/1/23</t>
  </si>
  <si>
    <t>NGUYEN THI KIM CHAU</t>
  </si>
  <si>
    <t>8/6/2021 10h</t>
  </si>
  <si>
    <t>17h30 8/06</t>
  </si>
  <si>
    <t>DO THI DIEP</t>
  </si>
  <si>
    <t>NGO THI THUY</t>
  </si>
  <si>
    <t>3h 1/2</t>
  </si>
  <si>
    <t>22h 2/2</t>
  </si>
  <si>
    <t>6h 19/9/2020</t>
  </si>
  <si>
    <t>BUI VAN SEN</t>
  </si>
  <si>
    <t>30/07/2018</t>
  </si>
  <si>
    <t>21h45</t>
  </si>
  <si>
    <t>16h 29/2</t>
  </si>
  <si>
    <t>11h 2/3</t>
  </si>
  <si>
    <t>14h 10/6</t>
  </si>
  <si>
    <t>23h 11/6</t>
  </si>
  <si>
    <t>N19-0089505</t>
  </si>
  <si>
    <t>NGUYEN HAI NAM</t>
  </si>
  <si>
    <t>4h 13/5/23</t>
  </si>
  <si>
    <t>9h 13/5/23</t>
  </si>
  <si>
    <t>20/2</t>
  </si>
  <si>
    <t>23h 20/2</t>
  </si>
  <si>
    <t>N15-0351836</t>
  </si>
  <si>
    <t>PHAN QUANG CHẤT</t>
  </si>
  <si>
    <t>10h 12/3/23</t>
  </si>
  <si>
    <t>13h 13/3/23</t>
  </si>
  <si>
    <t>NGUYEN THI LAM NGOC</t>
  </si>
  <si>
    <t>14h 9/6/2020</t>
  </si>
  <si>
    <t>22h 9/6</t>
  </si>
  <si>
    <t>N22-0094361</t>
  </si>
  <si>
    <t>PENG KAI</t>
  </si>
  <si>
    <t>MAI HOANG HIEN</t>
  </si>
  <si>
    <t>19/02/2019</t>
  </si>
  <si>
    <t>19h15</t>
  </si>
  <si>
    <t>0,51</t>
  </si>
  <si>
    <t>0,03</t>
  </si>
  <si>
    <t>23h 17/11/2021</t>
  </si>
  <si>
    <t>N19-0359646</t>
  </si>
  <si>
    <t>NGUYỄN VIỆT PHÚ</t>
  </si>
  <si>
    <t>4/11 0h</t>
  </si>
  <si>
    <t>20h 4/11</t>
  </si>
  <si>
    <t>5h 10/3/2023</t>
  </si>
  <si>
    <t>18h 10/3</t>
  </si>
  <si>
    <t>N19-0098856</t>
  </si>
  <si>
    <t>NGUYEN TIEN TUAN</t>
  </si>
  <si>
    <t>10h 4/4</t>
  </si>
  <si>
    <t>9h 5/4</t>
  </si>
  <si>
    <t>16/12 14h</t>
  </si>
  <si>
    <t>20h 16/12</t>
  </si>
  <si>
    <t>NGUYEN VAN CHAU</t>
  </si>
  <si>
    <t>NGUYEN THI KIEN</t>
  </si>
  <si>
    <t>0h 2/9/2020</t>
  </si>
  <si>
    <t>6h 2/09</t>
  </si>
  <si>
    <t>N19-0009796</t>
  </si>
  <si>
    <t>12h30 26/4</t>
  </si>
  <si>
    <t>2H 27/2/23</t>
  </si>
  <si>
    <t>10H 28/2/23</t>
  </si>
  <si>
    <t>15h 23/11/2019</t>
  </si>
  <si>
    <t>1h 25/11</t>
  </si>
  <si>
    <t>TRN VU QUANG</t>
  </si>
  <si>
    <t>25/3/2019</t>
  </si>
  <si>
    <t>21h 25/3</t>
  </si>
  <si>
    <t>Patient ID</t>
  </si>
  <si>
    <t>Name</t>
  </si>
  <si>
    <t>Age</t>
  </si>
  <si>
    <t>Occupation</t>
  </si>
  <si>
    <t>Address</t>
  </si>
  <si>
    <t>Sex</t>
  </si>
  <si>
    <t>CTSI</t>
  </si>
  <si>
    <t>Omniselect</t>
  </si>
  <si>
    <t>Mortality</t>
  </si>
  <si>
    <t>Atlanta_2012</t>
  </si>
  <si>
    <t>SOFA 1</t>
  </si>
  <si>
    <t>Qb</t>
  </si>
  <si>
    <t>Qr</t>
  </si>
  <si>
    <t>TG_truoc_pex</t>
  </si>
  <si>
    <t>DANG PHU LOI</t>
  </si>
  <si>
    <t>Tho may</t>
  </si>
  <si>
    <t>HR</t>
  </si>
  <si>
    <t>Sys</t>
  </si>
  <si>
    <t>Dia</t>
  </si>
  <si>
    <t>MAP</t>
  </si>
  <si>
    <t>RR</t>
  </si>
  <si>
    <t>GCS</t>
  </si>
  <si>
    <t>HR_1</t>
  </si>
  <si>
    <t>RR_1</t>
  </si>
  <si>
    <t>Nam sinh</t>
  </si>
  <si>
    <t>Dich bu_L</t>
  </si>
  <si>
    <t>Triglyceride nhập viện</t>
  </si>
  <si>
    <t>p/f</t>
  </si>
  <si>
    <t>0= không, 1=có</t>
  </si>
  <si>
    <t>1=nam, 2=nữ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</si>
</sst>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rgb="FF444444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0" fontId="6" fillId="0" borderId="0" xfId="0" applyFont="1"/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234B-553B-4F37-B9B5-4CEB9F532AC7}">
  <dimension ref="A1:GK138"/>
  <sheetViews>
    <sheetView tabSelected="1" topLeftCell="DC1" zoomScale="50" zoomScaleNormal="100" workbookViewId="0">
      <selection activeCell="EB2" sqref="EB2"/>
    </sheetView>
  </sheetViews>
  <sheetFormatPr defaultColWidth="9.1796875" defaultRowHeight="18" x14ac:dyDescent="0.4"/>
  <cols>
    <col min="1" max="1" width="17" style="14" customWidth="1"/>
    <col min="2" max="2" width="21.26953125" style="35" bestFit="1" customWidth="1"/>
    <col min="3" max="3" width="40" style="30" customWidth="1"/>
    <col min="4" max="4" width="12" style="24" bestFit="1" customWidth="1"/>
    <col min="5" max="5" width="13.36328125" style="31" customWidth="1"/>
    <col min="6" max="6" width="13.08984375" style="17" bestFit="1" customWidth="1"/>
    <col min="7" max="7" width="13" style="24" customWidth="1"/>
    <col min="8" max="8" width="18.36328125" style="24" customWidth="1"/>
    <col min="9" max="9" width="19" style="17" customWidth="1"/>
    <col min="10" max="10" width="19" style="24" customWidth="1"/>
    <col min="11" max="11" width="10.81640625" style="17" bestFit="1" customWidth="1"/>
    <col min="12" max="12" width="12.54296875" style="17" bestFit="1" customWidth="1"/>
    <col min="13" max="13" width="12.90625" style="24" bestFit="1" customWidth="1"/>
    <col min="14" max="14" width="12.81640625" style="17" customWidth="1"/>
    <col min="15" max="15" width="6.26953125" style="17" customWidth="1"/>
    <col min="16" max="16" width="14.90625" style="17" bestFit="1" customWidth="1"/>
    <col min="17" max="17" width="14.453125" style="17" bestFit="1" customWidth="1"/>
    <col min="18" max="18" width="13.90625" style="17" bestFit="1" customWidth="1"/>
    <col min="19" max="19" width="21.08984375" style="17" bestFit="1" customWidth="1"/>
    <col min="20" max="20" width="17" style="17" bestFit="1" customWidth="1"/>
    <col min="21" max="21" width="18.08984375" style="17" bestFit="1" customWidth="1"/>
    <col min="22" max="22" width="20.81640625" style="19" bestFit="1" customWidth="1"/>
    <col min="23" max="23" width="23.1796875" style="17" customWidth="1"/>
    <col min="24" max="24" width="18.26953125" style="24" bestFit="1" customWidth="1"/>
    <col min="25" max="25" width="23.1796875" style="17" customWidth="1"/>
    <col min="26" max="26" width="17" style="17" customWidth="1"/>
    <col min="27" max="27" width="16.7265625" style="17" customWidth="1"/>
    <col min="28" max="28" width="13.1796875" style="17" customWidth="1"/>
    <col min="29" max="29" width="11.54296875" style="17" customWidth="1"/>
    <col min="30" max="30" width="16.54296875" style="24" customWidth="1"/>
    <col min="31" max="31" width="18.54296875" style="24" customWidth="1"/>
    <col min="32" max="32" width="9.81640625" style="17" customWidth="1"/>
    <col min="33" max="33" width="14.6328125" style="17" customWidth="1"/>
    <col min="34" max="34" width="16" style="17" customWidth="1"/>
    <col min="35" max="35" width="13.54296875" style="17" customWidth="1"/>
    <col min="36" max="36" width="14.90625" style="17" customWidth="1"/>
    <col min="37" max="37" width="9.7265625" style="18" customWidth="1"/>
    <col min="38" max="39" width="9.453125" style="24" customWidth="1"/>
    <col min="40" max="40" width="7.7265625" style="24" customWidth="1"/>
    <col min="41" max="41" width="10.1796875" style="24" customWidth="1"/>
    <col min="42" max="42" width="9.453125" style="24" customWidth="1"/>
    <col min="43" max="43" width="11.1796875" style="24" customWidth="1"/>
    <col min="44" max="44" width="16.6328125" style="24" bestFit="1" customWidth="1"/>
    <col min="45" max="45" width="13.36328125" style="21" bestFit="1" customWidth="1"/>
    <col min="46" max="46" width="19.81640625" style="24" bestFit="1" customWidth="1"/>
    <col min="47" max="47" width="12.36328125" style="10" customWidth="1"/>
    <col min="48" max="49" width="9.1796875" style="10"/>
    <col min="50" max="50" width="17" style="17" customWidth="1"/>
    <col min="51" max="51" width="15.08984375" style="24" bestFit="1" customWidth="1"/>
    <col min="52" max="52" width="12.36328125" style="10" customWidth="1"/>
    <col min="53" max="53" width="18.6328125" style="10" bestFit="1" customWidth="1"/>
    <col min="54" max="54" width="18.36328125" style="10" bestFit="1" customWidth="1"/>
    <col min="55" max="55" width="10.81640625" style="21" customWidth="1"/>
    <col min="56" max="56" width="9.1796875" style="17"/>
    <col min="57" max="57" width="11.81640625" style="21" customWidth="1"/>
    <col min="58" max="58" width="10.453125" style="17" customWidth="1"/>
    <col min="59" max="59" width="10.26953125" style="17" customWidth="1"/>
    <col min="60" max="60" width="10.81640625" style="17" bestFit="1" customWidth="1"/>
    <col min="61" max="61" width="20.81640625" style="24" bestFit="1" customWidth="1"/>
    <col min="62" max="62" width="13.90625" style="17" bestFit="1" customWidth="1"/>
    <col min="63" max="65" width="13.81640625" style="24" customWidth="1"/>
    <col min="66" max="66" width="13.6328125" style="17" customWidth="1"/>
    <col min="67" max="67" width="10.1796875" style="17" customWidth="1"/>
    <col min="68" max="69" width="9.81640625" style="21" customWidth="1"/>
    <col min="70" max="70" width="14.453125" style="24" customWidth="1"/>
    <col min="71" max="71" width="9.1796875" style="10"/>
    <col min="72" max="72" width="8.1796875" style="18" customWidth="1"/>
    <col min="73" max="73" width="18.26953125" style="24" bestFit="1" customWidth="1"/>
    <col min="74" max="74" width="24.453125" style="17" bestFit="1" customWidth="1"/>
    <col min="75" max="78" width="14.90625" style="24" customWidth="1"/>
    <col min="79" max="85" width="13.26953125" style="17" customWidth="1"/>
    <col min="86" max="86" width="22.36328125" style="17" customWidth="1"/>
    <col min="87" max="87" width="16.1796875" style="24" customWidth="1"/>
    <col min="88" max="89" width="14.6328125" style="24" customWidth="1"/>
    <col min="90" max="90" width="21.7265625" style="24" customWidth="1"/>
    <col min="91" max="92" width="14.453125" style="25" customWidth="1"/>
    <col min="93" max="93" width="17.81640625" style="25" customWidth="1"/>
    <col min="94" max="94" width="22.54296875" style="24" customWidth="1"/>
    <col min="95" max="96" width="14.7265625" style="24" customWidth="1"/>
    <col min="97" max="97" width="41.54296875" style="24" customWidth="1"/>
    <col min="98" max="98" width="25.08984375" style="24" customWidth="1"/>
    <col min="99" max="99" width="30.54296875" style="17" bestFit="1" customWidth="1"/>
    <col min="100" max="100" width="29.26953125" style="24" customWidth="1"/>
    <col min="101" max="101" width="27.26953125" style="17" customWidth="1"/>
    <col min="102" max="102" width="14.6328125" style="21" customWidth="1"/>
    <col min="103" max="104" width="21" style="17" customWidth="1"/>
    <col min="105" max="105" width="16.90625" style="17" customWidth="1"/>
    <col min="106" max="106" width="23.453125" style="17" customWidth="1"/>
    <col min="107" max="107" width="17.6328125" style="17" bestFit="1" customWidth="1"/>
    <col min="108" max="108" width="19.1796875" style="17" bestFit="1" customWidth="1"/>
    <col min="109" max="109" width="16.7265625" style="17" customWidth="1"/>
    <col min="110" max="110" width="18.54296875" style="17" customWidth="1"/>
    <col min="111" max="111" width="12.81640625" style="21" customWidth="1"/>
    <col min="112" max="112" width="15.08984375" style="24" bestFit="1" customWidth="1"/>
    <col min="113" max="113" width="18.453125" style="24" customWidth="1"/>
    <col min="114" max="114" width="10.26953125" style="24" customWidth="1"/>
    <col min="115" max="115" width="9.1796875" style="17"/>
    <col min="116" max="116" width="10.54296875" style="21" customWidth="1"/>
    <col min="117" max="117" width="9.26953125" style="21" bestFit="1" customWidth="1"/>
    <col min="118" max="118" width="9.26953125" style="24" bestFit="1" customWidth="1"/>
    <col min="119" max="119" width="19.6328125" style="24" bestFit="1" customWidth="1"/>
    <col min="120" max="120" width="9.6328125" style="21" bestFit="1" customWidth="1"/>
    <col min="121" max="121" width="16.36328125" style="24" bestFit="1" customWidth="1"/>
    <col min="122" max="122" width="9.453125" style="24" customWidth="1"/>
    <col min="123" max="123" width="10.81640625" style="10" customWidth="1"/>
    <col min="124" max="127" width="9.1796875" style="10"/>
    <col min="128" max="128" width="13.7265625" style="10" customWidth="1"/>
    <col min="129" max="129" width="14.08984375" style="24" bestFit="1" customWidth="1"/>
    <col min="130" max="130" width="11.08984375" style="24" bestFit="1" customWidth="1"/>
    <col min="131" max="131" width="9.81640625" style="24" customWidth="1"/>
    <col min="132" max="132" width="17.81640625" style="24" bestFit="1" customWidth="1"/>
    <col min="133" max="133" width="10.36328125" style="24" bestFit="1" customWidth="1"/>
    <col min="134" max="134" width="21.26953125" style="24" bestFit="1" customWidth="1"/>
    <col min="135" max="135" width="10.90625" style="24" bestFit="1" customWidth="1"/>
    <col min="136" max="136" width="16.7265625" style="17" bestFit="1" customWidth="1"/>
    <col min="137" max="137" width="10.54296875" style="24" customWidth="1"/>
    <col min="138" max="138" width="12.6328125" style="24" bestFit="1" customWidth="1"/>
    <col min="139" max="139" width="10.6328125" style="24" bestFit="1" customWidth="1"/>
    <col min="140" max="140" width="11.1796875" style="24" customWidth="1"/>
    <col min="141" max="141" width="9.26953125" style="10" bestFit="1" customWidth="1"/>
    <col min="142" max="142" width="14.90625" style="24" customWidth="1"/>
    <col min="143" max="143" width="7.81640625" style="24" customWidth="1"/>
    <col min="144" max="144" width="21.1796875" style="24" bestFit="1" customWidth="1"/>
    <col min="145" max="145" width="24.453125" style="24" bestFit="1" customWidth="1"/>
    <col min="146" max="149" width="14.90625" style="24" customWidth="1"/>
    <col min="150" max="154" width="13.26953125" style="17" customWidth="1"/>
    <col min="155" max="156" width="22.36328125" style="17" customWidth="1"/>
    <col min="157" max="157" width="16.1796875" style="32" customWidth="1"/>
    <col min="158" max="158" width="20.36328125" style="24" customWidth="1"/>
    <col min="159" max="159" width="15" style="24" customWidth="1"/>
    <col min="160" max="160" width="11.08984375" style="24" bestFit="1" customWidth="1"/>
    <col min="161" max="161" width="13.08984375" style="24" bestFit="1" customWidth="1"/>
    <col min="162" max="162" width="15.1796875" style="24" bestFit="1" customWidth="1"/>
    <col min="163" max="163" width="10.453125" style="24" bestFit="1" customWidth="1"/>
    <col min="164" max="164" width="7.81640625" style="24" customWidth="1"/>
    <col min="165" max="165" width="8.81640625" style="24" bestFit="1" customWidth="1"/>
    <col min="166" max="166" width="11" style="24" customWidth="1"/>
    <col min="167" max="167" width="10.54296875" style="24" customWidth="1"/>
    <col min="168" max="168" width="17.453125" style="24" customWidth="1"/>
    <col min="169" max="169" width="9.54296875" style="24" bestFit="1" customWidth="1"/>
    <col min="170" max="170" width="16.36328125" style="24" bestFit="1" customWidth="1"/>
    <col min="171" max="171" width="12.453125" style="24" customWidth="1"/>
    <col min="172" max="172" width="13.90625" style="24" bestFit="1" customWidth="1"/>
    <col min="173" max="173" width="10.90625" style="24" bestFit="1" customWidth="1"/>
    <col min="174" max="174" width="9.1796875" style="24"/>
    <col min="175" max="175" width="15" style="24" customWidth="1"/>
    <col min="176" max="176" width="11.453125" style="24" customWidth="1"/>
    <col min="177" max="177" width="17.453125" style="24" customWidth="1"/>
    <col min="178" max="178" width="8.81640625" style="24" bestFit="1" customWidth="1"/>
    <col min="179" max="179" width="16.6328125" style="24" bestFit="1" customWidth="1"/>
    <col min="180" max="180" width="12.1796875" style="24" customWidth="1"/>
    <col min="181" max="181" width="12.54296875" style="24" bestFit="1" customWidth="1"/>
    <col min="182" max="182" width="12.453125" style="24" customWidth="1"/>
    <col min="183" max="183" width="10.54296875" style="24" bestFit="1" customWidth="1"/>
    <col min="184" max="184" width="22.36328125" style="17" customWidth="1"/>
    <col min="185" max="185" width="21.26953125" style="24" bestFit="1" customWidth="1"/>
    <col min="186" max="187" width="15.1796875" style="24" customWidth="1"/>
    <col min="188" max="188" width="18.36328125" style="24" bestFit="1" customWidth="1"/>
    <col min="189" max="189" width="15.26953125" style="24" bestFit="1" customWidth="1"/>
    <col min="190" max="190" width="15.1796875" style="24" customWidth="1"/>
    <col min="191" max="191" width="23.08984375" style="24" customWidth="1"/>
    <col min="192" max="192" width="13.1796875" style="24" customWidth="1"/>
    <col min="193" max="193" width="11.26953125" style="24" bestFit="1" customWidth="1"/>
    <col min="194" max="16384" width="9.1796875" style="24"/>
  </cols>
  <sheetData>
    <row r="1" spans="1:193" s="10" customFormat="1" ht="37.9" customHeight="1" x14ac:dyDescent="0.45">
      <c r="A1" s="2" t="s">
        <v>53</v>
      </c>
      <c r="B1" s="34" t="s">
        <v>492</v>
      </c>
      <c r="C1" s="3" t="s">
        <v>493</v>
      </c>
      <c r="D1" s="4" t="s">
        <v>507</v>
      </c>
      <c r="E1" s="2" t="s">
        <v>516</v>
      </c>
      <c r="F1" s="2" t="s">
        <v>494</v>
      </c>
      <c r="G1" s="5" t="s">
        <v>495</v>
      </c>
      <c r="H1" s="5" t="s">
        <v>496</v>
      </c>
      <c r="I1" s="2" t="s">
        <v>497</v>
      </c>
      <c r="J1" s="5" t="s">
        <v>517</v>
      </c>
      <c r="K1" s="2" t="s">
        <v>61</v>
      </c>
      <c r="L1" s="2" t="s">
        <v>62</v>
      </c>
      <c r="M1" s="5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6" t="s">
        <v>69</v>
      </c>
      <c r="T1" s="2" t="s">
        <v>70</v>
      </c>
      <c r="U1" s="2" t="s">
        <v>71</v>
      </c>
      <c r="V1" s="7" t="s">
        <v>72</v>
      </c>
      <c r="W1" s="2" t="s">
        <v>73</v>
      </c>
      <c r="X1" s="8" t="s">
        <v>107</v>
      </c>
      <c r="Y1" s="2" t="s">
        <v>74</v>
      </c>
      <c r="Z1" s="2" t="s">
        <v>75</v>
      </c>
      <c r="AA1" s="2" t="s">
        <v>508</v>
      </c>
      <c r="AB1" s="2" t="s">
        <v>509</v>
      </c>
      <c r="AC1" s="2" t="s">
        <v>510</v>
      </c>
      <c r="AD1" s="5" t="s">
        <v>511</v>
      </c>
      <c r="AE1" s="5" t="s">
        <v>512</v>
      </c>
      <c r="AF1" s="2" t="s">
        <v>76</v>
      </c>
      <c r="AG1" s="2" t="s">
        <v>77</v>
      </c>
      <c r="AH1" s="2" t="s">
        <v>78</v>
      </c>
      <c r="AI1" s="2" t="s">
        <v>79</v>
      </c>
      <c r="AJ1" s="2" t="s">
        <v>513</v>
      </c>
      <c r="AK1" s="5" t="s">
        <v>80</v>
      </c>
      <c r="AL1" s="5" t="s">
        <v>81</v>
      </c>
      <c r="AM1" s="5" t="s">
        <v>82</v>
      </c>
      <c r="AN1" s="5" t="s">
        <v>83</v>
      </c>
      <c r="AO1" s="5" t="s">
        <v>84</v>
      </c>
      <c r="AP1" s="5" t="s">
        <v>85</v>
      </c>
      <c r="AQ1" s="5" t="s">
        <v>86</v>
      </c>
      <c r="AR1" s="5" t="s">
        <v>87</v>
      </c>
      <c r="AS1" s="9" t="s">
        <v>88</v>
      </c>
      <c r="AT1" s="5" t="s">
        <v>89</v>
      </c>
      <c r="AU1" s="10" t="s">
        <v>55</v>
      </c>
      <c r="AV1" s="10" t="s">
        <v>56</v>
      </c>
      <c r="AW1" s="10" t="s">
        <v>57</v>
      </c>
      <c r="AX1" s="2" t="s">
        <v>90</v>
      </c>
      <c r="AY1" s="5" t="s">
        <v>91</v>
      </c>
      <c r="AZ1" s="10" t="s">
        <v>54</v>
      </c>
      <c r="BA1" s="10" t="s">
        <v>58</v>
      </c>
      <c r="BB1" s="10" t="s">
        <v>59</v>
      </c>
      <c r="BC1" s="9" t="s">
        <v>92</v>
      </c>
      <c r="BD1" s="2" t="s">
        <v>93</v>
      </c>
      <c r="BE1" s="9" t="s">
        <v>94</v>
      </c>
      <c r="BF1" s="2" t="s">
        <v>95</v>
      </c>
      <c r="BG1" s="2" t="s">
        <v>96</v>
      </c>
      <c r="BH1" s="2" t="s">
        <v>97</v>
      </c>
      <c r="BI1" s="2" t="s">
        <v>518</v>
      </c>
      <c r="BJ1" s="2" t="s">
        <v>98</v>
      </c>
      <c r="BK1" s="5" t="s">
        <v>99</v>
      </c>
      <c r="BL1" s="5" t="s">
        <v>100</v>
      </c>
      <c r="BM1" s="5" t="s">
        <v>101</v>
      </c>
      <c r="BN1" s="2" t="s">
        <v>102</v>
      </c>
      <c r="BO1" s="2" t="s">
        <v>103</v>
      </c>
      <c r="BP1" s="9" t="s">
        <v>104</v>
      </c>
      <c r="BQ1" s="9" t="s">
        <v>519</v>
      </c>
      <c r="BR1" s="5" t="s">
        <v>105</v>
      </c>
      <c r="BS1" s="10" t="s">
        <v>60</v>
      </c>
      <c r="BT1" s="5" t="s">
        <v>106</v>
      </c>
      <c r="BU1" s="8" t="s">
        <v>107</v>
      </c>
      <c r="BV1" s="5" t="s">
        <v>108</v>
      </c>
      <c r="BW1" s="5" t="s">
        <v>109</v>
      </c>
      <c r="BX1" s="5" t="s">
        <v>110</v>
      </c>
      <c r="BY1" s="5" t="s">
        <v>111</v>
      </c>
      <c r="BZ1" s="5" t="s">
        <v>501</v>
      </c>
      <c r="CA1" s="11" t="s">
        <v>112</v>
      </c>
      <c r="CB1" s="11" t="s">
        <v>113</v>
      </c>
      <c r="CC1" s="11" t="s">
        <v>114</v>
      </c>
      <c r="CD1" s="11" t="s">
        <v>115</v>
      </c>
      <c r="CE1" s="11" t="s">
        <v>116</v>
      </c>
      <c r="CF1" s="11" t="s">
        <v>117</v>
      </c>
      <c r="CG1" s="11" t="s">
        <v>118</v>
      </c>
      <c r="CH1" s="11" t="s">
        <v>119</v>
      </c>
      <c r="CI1" s="12" t="s">
        <v>120</v>
      </c>
      <c r="CJ1" s="12" t="s">
        <v>121</v>
      </c>
      <c r="CK1" s="12" t="s">
        <v>122</v>
      </c>
      <c r="CL1" s="12" t="s">
        <v>123</v>
      </c>
      <c r="CM1" s="12" t="s">
        <v>498</v>
      </c>
      <c r="CN1" s="12" t="s">
        <v>124</v>
      </c>
      <c r="CO1" s="5" t="s">
        <v>125</v>
      </c>
      <c r="CP1" s="13" t="s">
        <v>126</v>
      </c>
      <c r="CQ1" s="13" t="s">
        <v>503</v>
      </c>
      <c r="CR1" s="13" t="s">
        <v>504</v>
      </c>
      <c r="CS1" s="5" t="s">
        <v>127</v>
      </c>
      <c r="CT1" s="5" t="s">
        <v>128</v>
      </c>
      <c r="CU1" s="2" t="s">
        <v>505</v>
      </c>
      <c r="CV1" s="5" t="s">
        <v>129</v>
      </c>
      <c r="CW1" s="2" t="s">
        <v>130</v>
      </c>
      <c r="CX1" s="9" t="s">
        <v>131</v>
      </c>
      <c r="CY1" s="2" t="s">
        <v>132</v>
      </c>
      <c r="CZ1" s="2" t="s">
        <v>133</v>
      </c>
      <c r="DA1" s="2" t="s">
        <v>134</v>
      </c>
      <c r="DB1" s="2" t="s">
        <v>135</v>
      </c>
      <c r="DC1" s="2" t="s">
        <v>136</v>
      </c>
      <c r="DD1" s="2" t="s">
        <v>137</v>
      </c>
      <c r="DE1" s="2" t="s">
        <v>514</v>
      </c>
      <c r="DF1" s="2" t="s">
        <v>515</v>
      </c>
      <c r="DG1" s="9" t="s">
        <v>138</v>
      </c>
      <c r="DH1" s="5" t="s">
        <v>139</v>
      </c>
      <c r="DI1" s="5" t="s">
        <v>140</v>
      </c>
      <c r="DJ1" s="5" t="s">
        <v>141</v>
      </c>
      <c r="DK1" s="2" t="s">
        <v>142</v>
      </c>
      <c r="DL1" s="9" t="s">
        <v>143</v>
      </c>
      <c r="DM1" s="9" t="s">
        <v>144</v>
      </c>
      <c r="DN1" s="5" t="s">
        <v>145</v>
      </c>
      <c r="DO1" s="5" t="s">
        <v>146</v>
      </c>
      <c r="DP1" s="9" t="s">
        <v>147</v>
      </c>
      <c r="DQ1" s="5" t="s">
        <v>148</v>
      </c>
      <c r="DR1" s="5" t="s">
        <v>149</v>
      </c>
      <c r="DS1" s="10" t="s">
        <v>54</v>
      </c>
      <c r="DT1" s="10" t="s">
        <v>55</v>
      </c>
      <c r="DU1" s="10" t="s">
        <v>56</v>
      </c>
      <c r="DV1" s="10" t="s">
        <v>57</v>
      </c>
      <c r="DW1" s="10" t="s">
        <v>58</v>
      </c>
      <c r="DX1" s="10" t="s">
        <v>59</v>
      </c>
      <c r="DY1" s="5" t="s">
        <v>150</v>
      </c>
      <c r="DZ1" s="5" t="s">
        <v>151</v>
      </c>
      <c r="EA1" s="5" t="s">
        <v>152</v>
      </c>
      <c r="EB1" s="5" t="s">
        <v>153</v>
      </c>
      <c r="EC1" s="5" t="s">
        <v>154</v>
      </c>
      <c r="ED1" s="2" t="s">
        <v>155</v>
      </c>
      <c r="EE1" s="5" t="s">
        <v>156</v>
      </c>
      <c r="EF1" s="5" t="s">
        <v>157</v>
      </c>
      <c r="EG1" s="5" t="s">
        <v>158</v>
      </c>
      <c r="EH1" s="5" t="s">
        <v>159</v>
      </c>
      <c r="EI1" s="5" t="s">
        <v>160</v>
      </c>
      <c r="EJ1" s="5" t="s">
        <v>161</v>
      </c>
      <c r="EK1" s="10" t="s">
        <v>60</v>
      </c>
      <c r="EL1" s="5" t="s">
        <v>162</v>
      </c>
      <c r="EM1" s="5" t="s">
        <v>163</v>
      </c>
      <c r="EN1" s="11" t="s">
        <v>164</v>
      </c>
      <c r="EO1" s="5" t="s">
        <v>165</v>
      </c>
      <c r="EP1" s="5" t="s">
        <v>109</v>
      </c>
      <c r="EQ1" s="5" t="s">
        <v>110</v>
      </c>
      <c r="ER1" s="5" t="s">
        <v>111</v>
      </c>
      <c r="ES1" s="5" t="s">
        <v>501</v>
      </c>
      <c r="ET1" s="11" t="s">
        <v>112</v>
      </c>
      <c r="EU1" s="11" t="s">
        <v>113</v>
      </c>
      <c r="EV1" s="11" t="s">
        <v>114</v>
      </c>
      <c r="EW1" s="11" t="s">
        <v>115</v>
      </c>
      <c r="EX1" s="11" t="s">
        <v>116</v>
      </c>
      <c r="EY1" s="11" t="s">
        <v>117</v>
      </c>
      <c r="EZ1" s="11" t="s">
        <v>502</v>
      </c>
      <c r="FA1" s="5" t="s">
        <v>166</v>
      </c>
      <c r="FB1" s="5" t="s">
        <v>167</v>
      </c>
      <c r="FC1" s="5" t="s">
        <v>168</v>
      </c>
      <c r="FD1" s="5" t="s">
        <v>169</v>
      </c>
      <c r="FE1" s="5" t="s">
        <v>170</v>
      </c>
      <c r="FF1" s="5" t="s">
        <v>171</v>
      </c>
      <c r="FG1" s="5" t="s">
        <v>172</v>
      </c>
      <c r="FH1" s="5" t="s">
        <v>173</v>
      </c>
      <c r="FI1" s="5" t="s">
        <v>174</v>
      </c>
      <c r="FJ1" s="5" t="s">
        <v>175</v>
      </c>
      <c r="FK1" s="5" t="s">
        <v>176</v>
      </c>
      <c r="FL1" s="5" t="s">
        <v>177</v>
      </c>
      <c r="FM1" s="5" t="s">
        <v>178</v>
      </c>
      <c r="FN1" s="5" t="s">
        <v>179</v>
      </c>
      <c r="FO1" s="5" t="s">
        <v>180</v>
      </c>
      <c r="FP1" s="5" t="s">
        <v>181</v>
      </c>
      <c r="FQ1" s="5" t="s">
        <v>182</v>
      </c>
      <c r="FR1" s="5" t="s">
        <v>183</v>
      </c>
      <c r="FS1" s="5" t="s">
        <v>184</v>
      </c>
      <c r="FT1" s="5" t="s">
        <v>185</v>
      </c>
      <c r="FU1" s="5" t="s">
        <v>186</v>
      </c>
      <c r="FV1" s="5" t="s">
        <v>187</v>
      </c>
      <c r="FW1" s="5" t="s">
        <v>188</v>
      </c>
      <c r="FX1" s="5" t="s">
        <v>189</v>
      </c>
      <c r="FY1" s="5" t="s">
        <v>190</v>
      </c>
      <c r="FZ1" s="5" t="s">
        <v>191</v>
      </c>
      <c r="GA1" s="5" t="s">
        <v>192</v>
      </c>
      <c r="GB1" s="11" t="s">
        <v>502</v>
      </c>
      <c r="GC1" s="5" t="s">
        <v>164</v>
      </c>
      <c r="GD1" s="5" t="s">
        <v>500</v>
      </c>
      <c r="GE1" s="5" t="s">
        <v>193</v>
      </c>
      <c r="GF1" s="5" t="s">
        <v>194</v>
      </c>
      <c r="GG1" s="10" t="s">
        <v>195</v>
      </c>
      <c r="GH1" s="10" t="s">
        <v>196</v>
      </c>
      <c r="GI1" s="10" t="s">
        <v>197</v>
      </c>
      <c r="GJ1" s="10" t="s">
        <v>198</v>
      </c>
      <c r="GK1" s="10" t="s">
        <v>199</v>
      </c>
    </row>
    <row r="2" spans="1:193" s="10" customFormat="1" ht="37.9" customHeight="1" x14ac:dyDescent="0.45">
      <c r="A2" s="2"/>
      <c r="B2" s="34"/>
      <c r="C2" s="3"/>
      <c r="D2" s="4" t="s">
        <v>520</v>
      </c>
      <c r="E2" s="2"/>
      <c r="F2" s="2"/>
      <c r="G2" s="5"/>
      <c r="H2" s="5"/>
      <c r="I2" s="2" t="s">
        <v>521</v>
      </c>
      <c r="J2" s="5"/>
      <c r="K2" s="2"/>
      <c r="L2" s="2"/>
      <c r="M2" s="5"/>
      <c r="N2" s="4" t="s">
        <v>520</v>
      </c>
      <c r="O2" s="4" t="s">
        <v>520</v>
      </c>
      <c r="P2" s="4" t="s">
        <v>520</v>
      </c>
      <c r="Q2" s="4" t="s">
        <v>520</v>
      </c>
      <c r="R2" s="4" t="s">
        <v>520</v>
      </c>
      <c r="S2" s="4" t="s">
        <v>520</v>
      </c>
      <c r="T2" s="4" t="s">
        <v>520</v>
      </c>
      <c r="U2" s="4" t="s">
        <v>520</v>
      </c>
      <c r="V2" s="7"/>
      <c r="W2" s="2"/>
      <c r="X2" s="8"/>
      <c r="Y2" s="2"/>
      <c r="Z2" s="2"/>
      <c r="AA2" s="2"/>
      <c r="AB2" s="2"/>
      <c r="AC2" s="2"/>
      <c r="AD2" s="5"/>
      <c r="AE2" s="5"/>
      <c r="AF2" s="2"/>
      <c r="AG2" s="4" t="s">
        <v>520</v>
      </c>
      <c r="AH2" s="4" t="s">
        <v>520</v>
      </c>
      <c r="AI2" s="4" t="s">
        <v>520</v>
      </c>
      <c r="AJ2" s="4"/>
      <c r="AK2" s="5"/>
      <c r="AL2" s="5"/>
      <c r="AM2" s="5"/>
      <c r="AN2" s="5"/>
      <c r="AO2" s="5"/>
      <c r="AP2" s="5"/>
      <c r="AQ2" s="5"/>
      <c r="AR2" s="5"/>
      <c r="AS2" s="9"/>
      <c r="AT2" s="5"/>
      <c r="AX2" s="2"/>
      <c r="AY2" s="5"/>
      <c r="BC2" s="9"/>
      <c r="BD2" s="2"/>
      <c r="BE2" s="9"/>
      <c r="BF2" s="2"/>
      <c r="BG2" s="2"/>
      <c r="BH2" s="2"/>
      <c r="BI2" s="2"/>
      <c r="BJ2" s="2"/>
      <c r="BK2" s="5"/>
      <c r="BL2" s="5"/>
      <c r="BM2" s="5"/>
      <c r="BN2" s="2"/>
      <c r="BO2" s="2"/>
      <c r="BP2" s="9"/>
      <c r="BQ2" s="9"/>
      <c r="BR2" s="5"/>
      <c r="BT2" s="5"/>
      <c r="BU2" s="8"/>
      <c r="BV2" s="5"/>
      <c r="BW2" s="5"/>
      <c r="BX2" s="5"/>
      <c r="BY2" s="5"/>
      <c r="BZ2" s="5"/>
      <c r="CA2" s="11"/>
      <c r="CB2" s="11"/>
      <c r="CC2" s="11"/>
      <c r="CD2" s="11"/>
      <c r="CE2" s="11"/>
      <c r="CF2" s="11"/>
      <c r="CG2" s="11"/>
      <c r="CH2" s="11"/>
      <c r="CI2" s="4" t="s">
        <v>520</v>
      </c>
      <c r="CJ2" s="4" t="s">
        <v>520</v>
      </c>
      <c r="CK2" s="4" t="s">
        <v>520</v>
      </c>
      <c r="CL2" s="4" t="s">
        <v>520</v>
      </c>
      <c r="CM2" s="12"/>
      <c r="CN2" s="12"/>
      <c r="CO2" s="5"/>
      <c r="CP2" s="13"/>
      <c r="CQ2" s="13"/>
      <c r="CR2" s="13"/>
      <c r="CS2" s="5"/>
      <c r="CT2" s="5"/>
      <c r="CU2" s="2"/>
      <c r="CV2" s="5"/>
      <c r="CW2" s="2"/>
      <c r="CX2" s="9"/>
      <c r="CY2" s="2"/>
      <c r="CZ2" s="2"/>
      <c r="DA2" s="2"/>
      <c r="DB2" s="2"/>
      <c r="DC2" s="2"/>
      <c r="DD2" s="2"/>
      <c r="DE2" s="2"/>
      <c r="DF2" s="2"/>
      <c r="DG2" s="9"/>
      <c r="DH2" s="5"/>
      <c r="DI2" s="5"/>
      <c r="DJ2" s="5"/>
      <c r="DK2" s="2"/>
      <c r="DL2" s="9"/>
      <c r="DM2" s="9"/>
      <c r="DN2" s="5"/>
      <c r="DO2" s="5"/>
      <c r="DP2" s="9"/>
      <c r="DQ2" s="5"/>
      <c r="DR2" s="5"/>
      <c r="DY2" s="5"/>
      <c r="DZ2" s="5"/>
      <c r="EA2" s="5"/>
      <c r="EB2" s="5"/>
      <c r="EC2" s="5"/>
      <c r="ED2" s="2"/>
      <c r="EE2" s="5"/>
      <c r="EF2" s="5"/>
      <c r="EG2" s="5"/>
      <c r="EH2" s="5"/>
      <c r="EI2" s="5"/>
      <c r="EJ2" s="5"/>
      <c r="EL2" s="5"/>
      <c r="EM2" s="5"/>
      <c r="EN2" s="11"/>
      <c r="EO2" s="5"/>
      <c r="EP2" s="5"/>
      <c r="EQ2" s="5"/>
      <c r="ER2" s="5"/>
      <c r="ES2" s="5"/>
      <c r="ET2" s="11"/>
      <c r="EU2" s="11"/>
      <c r="EV2" s="11"/>
      <c r="EW2" s="11"/>
      <c r="EX2" s="11"/>
      <c r="EY2" s="11"/>
      <c r="EZ2" s="11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11"/>
      <c r="GC2" s="5"/>
      <c r="GD2" s="5"/>
      <c r="GE2" s="5"/>
      <c r="GF2" s="5"/>
    </row>
    <row r="3" spans="1:193" ht="18" customHeight="1" x14ac:dyDescent="0.45">
      <c r="A3" s="14">
        <v>1</v>
      </c>
      <c r="B3" s="35" t="s">
        <v>19</v>
      </c>
      <c r="C3" s="15" t="s">
        <v>20</v>
      </c>
      <c r="D3" s="16">
        <v>0</v>
      </c>
      <c r="E3" s="17">
        <v>1986</v>
      </c>
      <c r="F3" s="17">
        <f t="shared" ref="F3:F34" si="0">(2023-E3)</f>
        <v>37</v>
      </c>
      <c r="G3" s="18" t="s">
        <v>237</v>
      </c>
      <c r="H3" s="18" t="s">
        <v>301</v>
      </c>
      <c r="I3" s="17">
        <v>1</v>
      </c>
      <c r="J3" s="18">
        <f t="shared" ref="J3:J34" si="1">K3*2*24/1000</f>
        <v>2.3519999999999999</v>
      </c>
      <c r="K3" s="17">
        <v>49</v>
      </c>
      <c r="L3" s="17">
        <v>150</v>
      </c>
      <c r="M3" s="18">
        <f t="shared" ref="M3:M34" si="2">K3/(L3/100)^2</f>
        <v>21.777777777777779</v>
      </c>
      <c r="N3" s="17">
        <v>0</v>
      </c>
      <c r="O3" s="17">
        <v>1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9" t="s">
        <v>457</v>
      </c>
      <c r="W3" s="17">
        <v>72</v>
      </c>
      <c r="X3" s="20">
        <v>19</v>
      </c>
      <c r="Y3" s="17">
        <v>1</v>
      </c>
      <c r="Z3" s="17">
        <v>6</v>
      </c>
      <c r="AA3" s="17">
        <v>120</v>
      </c>
      <c r="AB3" s="17">
        <v>100</v>
      </c>
      <c r="AC3" s="17">
        <v>60</v>
      </c>
      <c r="AD3" s="18">
        <f t="shared" ref="AD3:AD34" si="3">AC3+1/3*(AB3-AC3)</f>
        <v>73.333333333333329</v>
      </c>
      <c r="AE3" s="18">
        <v>30</v>
      </c>
      <c r="AF3" s="17">
        <v>37</v>
      </c>
      <c r="AG3" s="17">
        <v>1</v>
      </c>
      <c r="AH3" s="17">
        <v>1</v>
      </c>
      <c r="AI3" s="17">
        <v>0</v>
      </c>
      <c r="AJ3" s="17">
        <v>8</v>
      </c>
      <c r="AK3" s="18">
        <v>17</v>
      </c>
      <c r="AL3" s="18">
        <v>3.4</v>
      </c>
      <c r="AM3" s="18">
        <v>179</v>
      </c>
      <c r="AN3" s="18">
        <v>35</v>
      </c>
      <c r="AO3" s="18">
        <v>337</v>
      </c>
      <c r="AP3" s="18">
        <v>12</v>
      </c>
      <c r="AQ3" s="18">
        <v>30</v>
      </c>
      <c r="AR3" s="18">
        <v>7.2</v>
      </c>
      <c r="AT3" s="18"/>
      <c r="AV3" s="10">
        <v>42</v>
      </c>
      <c r="AW3" s="10">
        <v>10</v>
      </c>
      <c r="AX3" s="17">
        <v>12</v>
      </c>
      <c r="AY3" s="18">
        <v>0.78</v>
      </c>
      <c r="BA3" s="5">
        <v>0.42</v>
      </c>
      <c r="BB3" s="5">
        <v>0.16400000000000001</v>
      </c>
      <c r="BC3" s="21">
        <v>113</v>
      </c>
      <c r="BD3" s="17">
        <v>132</v>
      </c>
      <c r="BE3" s="21">
        <v>4.3</v>
      </c>
      <c r="BF3" s="17">
        <v>100</v>
      </c>
      <c r="BH3" s="17">
        <v>1658</v>
      </c>
      <c r="BI3" s="17">
        <v>7200</v>
      </c>
      <c r="BJ3" s="17">
        <v>120</v>
      </c>
      <c r="BK3" s="18"/>
      <c r="BL3" s="18"/>
      <c r="BM3" s="18">
        <v>7.09</v>
      </c>
      <c r="BN3" s="17">
        <v>13</v>
      </c>
      <c r="BO3" s="17">
        <v>183</v>
      </c>
      <c r="BP3" s="21">
        <v>4</v>
      </c>
      <c r="BQ3" s="21">
        <f>BO3/BR3</f>
        <v>332.72727272727269</v>
      </c>
      <c r="BR3" s="18">
        <v>0.55000000000000004</v>
      </c>
      <c r="BS3" s="10">
        <v>1.21</v>
      </c>
      <c r="BT3" s="18">
        <v>2.12</v>
      </c>
      <c r="BU3" s="20">
        <v>19</v>
      </c>
      <c r="BV3" s="22">
        <v>32.234847500456446</v>
      </c>
      <c r="BW3" s="18">
        <f t="shared" ref="BW3:BW34" si="4">IF(AA3&gt;=90, 1, 0)</f>
        <v>1</v>
      </c>
      <c r="BX3" s="18">
        <f t="shared" ref="BX3:BX34" si="5">IF(AE3&gt;=21, 1, 0)</f>
        <v>1</v>
      </c>
      <c r="BY3" s="18">
        <f t="shared" ref="BY3:BY34" si="6">IF(AX3&gt;=28, 1, 0)</f>
        <v>0</v>
      </c>
      <c r="BZ3" s="18">
        <f t="shared" ref="BZ3:BZ34" si="7">SUM(BW3:BY3)</f>
        <v>2</v>
      </c>
      <c r="CA3" s="22">
        <v>0</v>
      </c>
      <c r="CB3" s="22">
        <v>1</v>
      </c>
      <c r="CC3" s="22">
        <v>1</v>
      </c>
      <c r="CD3" s="22">
        <v>0</v>
      </c>
      <c r="CE3" s="22">
        <v>0</v>
      </c>
      <c r="CF3" s="22">
        <f t="shared" ref="CF3:CF34" si="8">SUM(CA3:CE3)</f>
        <v>2</v>
      </c>
      <c r="CG3" s="22">
        <v>1</v>
      </c>
      <c r="CH3" s="22">
        <v>4</v>
      </c>
      <c r="CI3" s="23">
        <v>1</v>
      </c>
      <c r="CJ3" s="23">
        <v>0</v>
      </c>
      <c r="CK3" s="23">
        <v>0</v>
      </c>
      <c r="CL3" s="23">
        <v>0</v>
      </c>
      <c r="CM3" s="23">
        <v>6</v>
      </c>
      <c r="CN3" s="23" t="s">
        <v>203</v>
      </c>
      <c r="CO3" s="18" t="s">
        <v>458</v>
      </c>
      <c r="CP3" s="18" t="s">
        <v>235</v>
      </c>
      <c r="CQ3" s="18">
        <v>150</v>
      </c>
      <c r="CR3" s="18">
        <v>1500</v>
      </c>
      <c r="CS3" s="18" t="s">
        <v>236</v>
      </c>
      <c r="CT3" s="18" t="s">
        <v>207</v>
      </c>
      <c r="CU3" s="17">
        <f>BI3</f>
        <v>7200</v>
      </c>
      <c r="CV3" s="18" t="s">
        <v>209</v>
      </c>
      <c r="CW3" s="17">
        <v>2300</v>
      </c>
      <c r="CX3" s="21">
        <v>1.5</v>
      </c>
      <c r="CY3" s="17">
        <v>3600</v>
      </c>
      <c r="DB3" s="17">
        <v>1</v>
      </c>
      <c r="DC3" s="17">
        <v>1</v>
      </c>
      <c r="DD3" s="17">
        <v>3</v>
      </c>
      <c r="DE3" s="17">
        <v>100</v>
      </c>
      <c r="DF3" s="17">
        <v>27</v>
      </c>
      <c r="DG3" s="21">
        <v>5</v>
      </c>
      <c r="DH3" s="18">
        <v>2.5</v>
      </c>
      <c r="DI3" s="18">
        <v>88</v>
      </c>
      <c r="DJ3" s="18">
        <v>24</v>
      </c>
      <c r="DK3" s="17">
        <v>132</v>
      </c>
      <c r="DL3" s="21">
        <v>18</v>
      </c>
      <c r="DM3" s="21">
        <v>43</v>
      </c>
      <c r="DN3" s="18"/>
      <c r="DO3" s="18">
        <v>3</v>
      </c>
      <c r="DP3" s="21">
        <v>23</v>
      </c>
      <c r="DQ3" s="18">
        <v>0.98</v>
      </c>
      <c r="DR3" s="18">
        <v>120</v>
      </c>
      <c r="DS3" s="10">
        <v>36.9</v>
      </c>
      <c r="DY3" s="18">
        <v>143</v>
      </c>
      <c r="DZ3" s="18">
        <v>4.21</v>
      </c>
      <c r="EA3" s="18">
        <v>112</v>
      </c>
      <c r="EB3" s="18"/>
      <c r="EC3" s="18"/>
      <c r="ED3" s="17">
        <v>892</v>
      </c>
      <c r="EE3" s="18">
        <v>7.5</v>
      </c>
      <c r="EF3" s="18">
        <v>35</v>
      </c>
      <c r="EG3" s="18">
        <v>80</v>
      </c>
      <c r="EH3" s="18">
        <v>26</v>
      </c>
      <c r="EI3" s="18">
        <f>EG3/0.21</f>
        <v>380.95238095238096</v>
      </c>
      <c r="EJ3" s="18">
        <f>EG3/EI3</f>
        <v>0.21</v>
      </c>
      <c r="EK3" s="10">
        <v>1.73</v>
      </c>
      <c r="EL3" s="5">
        <v>1.1499999999999999</v>
      </c>
      <c r="EM3" s="18">
        <v>15</v>
      </c>
      <c r="EN3" s="22">
        <v>6</v>
      </c>
      <c r="EO3" s="22">
        <v>6.6545891108010107</v>
      </c>
      <c r="EP3" s="18">
        <f t="shared" ref="EP3:EP34" si="9">IF(DE3&gt;=90, 1, 0)</f>
        <v>1</v>
      </c>
      <c r="EQ3" s="18">
        <f t="shared" ref="EQ3:EQ34" si="10">IF(DF3&gt;=21, 1, 0)</f>
        <v>1</v>
      </c>
      <c r="ER3" s="18">
        <f t="shared" ref="ER3:ER34" si="11">IF(DP3&gt;=28, 1, 0)</f>
        <v>0</v>
      </c>
      <c r="ES3" s="18">
        <f t="shared" ref="ES3:ES34" si="12">SUM(EP3:ER3)</f>
        <v>2</v>
      </c>
      <c r="ET3" s="22">
        <v>0</v>
      </c>
      <c r="EU3" s="22">
        <v>0</v>
      </c>
      <c r="EV3" s="22">
        <v>0</v>
      </c>
      <c r="EW3" s="22">
        <v>0</v>
      </c>
      <c r="EX3" s="22">
        <v>0</v>
      </c>
      <c r="EY3" s="22">
        <f t="shared" ref="EY3:EY34" si="13">SUM(ET3:EX3)</f>
        <v>0</v>
      </c>
      <c r="EZ3" s="22">
        <v>4</v>
      </c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7">
        <v>892</v>
      </c>
      <c r="FT3" s="18"/>
      <c r="FU3" s="18"/>
      <c r="FV3" s="18"/>
      <c r="FW3" s="18"/>
      <c r="FX3" s="18"/>
      <c r="FY3" s="18"/>
      <c r="FZ3" s="18"/>
      <c r="GA3" s="18"/>
      <c r="GB3" s="22">
        <v>4</v>
      </c>
      <c r="GC3" s="22">
        <v>6</v>
      </c>
      <c r="GD3" s="22">
        <v>0</v>
      </c>
      <c r="GE3" s="18"/>
      <c r="GF3" s="18">
        <f t="shared" ref="GF3:GF34" si="14">GG3/BI3</f>
        <v>0.87611111111111106</v>
      </c>
      <c r="GG3" s="17">
        <f t="shared" ref="GG3:GG11" si="15">BI3-ED3</f>
        <v>6308</v>
      </c>
      <c r="GH3" s="17">
        <f t="shared" ref="GH3:GH34" si="16">CF3-EY3</f>
        <v>2</v>
      </c>
      <c r="GI3" s="17">
        <f t="shared" ref="GI3:GI32" si="17">BU3-GC3</f>
        <v>13</v>
      </c>
    </row>
    <row r="4" spans="1:193" ht="18" customHeight="1" x14ac:dyDescent="0.45">
      <c r="A4" s="14">
        <v>2</v>
      </c>
      <c r="B4" s="35" t="s">
        <v>459</v>
      </c>
      <c r="C4" s="15" t="s">
        <v>460</v>
      </c>
      <c r="D4" s="16">
        <v>0</v>
      </c>
      <c r="E4" s="17">
        <v>1980</v>
      </c>
      <c r="F4" s="17">
        <f t="shared" si="0"/>
        <v>43</v>
      </c>
      <c r="G4" s="18" t="s">
        <v>237</v>
      </c>
      <c r="H4" s="18" t="s">
        <v>234</v>
      </c>
      <c r="I4" s="17">
        <v>0</v>
      </c>
      <c r="J4" s="18">
        <f t="shared" si="1"/>
        <v>3.456</v>
      </c>
      <c r="K4" s="17">
        <v>72</v>
      </c>
      <c r="L4" s="17">
        <v>165</v>
      </c>
      <c r="M4" s="18">
        <f t="shared" si="2"/>
        <v>26.446280991735541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9" t="s">
        <v>436</v>
      </c>
      <c r="W4" s="17">
        <v>12</v>
      </c>
      <c r="X4" s="20">
        <v>11</v>
      </c>
      <c r="Y4" s="17">
        <v>1</v>
      </c>
      <c r="Z4" s="17">
        <v>8</v>
      </c>
      <c r="AA4" s="17">
        <v>129</v>
      </c>
      <c r="AB4" s="17">
        <v>110</v>
      </c>
      <c r="AC4" s="17">
        <v>70</v>
      </c>
      <c r="AD4" s="18">
        <f t="shared" si="3"/>
        <v>83.333333333333329</v>
      </c>
      <c r="AE4" s="18">
        <v>21</v>
      </c>
      <c r="AF4" s="17">
        <v>37</v>
      </c>
      <c r="AG4" s="17">
        <v>1</v>
      </c>
      <c r="AH4" s="17">
        <v>0</v>
      </c>
      <c r="AI4" s="17">
        <v>0</v>
      </c>
      <c r="AJ4" s="17">
        <v>12</v>
      </c>
      <c r="AK4" s="18">
        <v>13</v>
      </c>
      <c r="AL4" s="18">
        <v>5.99</v>
      </c>
      <c r="AM4" s="18">
        <v>173</v>
      </c>
      <c r="AN4" s="18">
        <v>49</v>
      </c>
      <c r="AO4" s="18">
        <v>239</v>
      </c>
      <c r="AP4" s="18">
        <v>14</v>
      </c>
      <c r="AQ4" s="18">
        <v>36</v>
      </c>
      <c r="AR4" s="18"/>
      <c r="AS4" s="21">
        <v>430</v>
      </c>
      <c r="AT4" s="18"/>
      <c r="AV4" s="10">
        <v>47</v>
      </c>
      <c r="AW4" s="10">
        <v>62</v>
      </c>
      <c r="AX4" s="17">
        <v>46</v>
      </c>
      <c r="AY4" s="18">
        <v>1.29</v>
      </c>
      <c r="BA4" s="5">
        <v>1.29</v>
      </c>
      <c r="BB4" s="5">
        <v>0.5</v>
      </c>
      <c r="BC4" s="21">
        <v>62</v>
      </c>
      <c r="BD4" s="17">
        <v>121</v>
      </c>
      <c r="BE4" s="21">
        <v>3.8</v>
      </c>
      <c r="BF4" s="17">
        <v>88</v>
      </c>
      <c r="BH4" s="17">
        <v>1014</v>
      </c>
      <c r="BI4" s="17">
        <v>1532</v>
      </c>
      <c r="BJ4" s="17">
        <v>256</v>
      </c>
      <c r="BK4" s="18"/>
      <c r="BL4" s="18"/>
      <c r="BM4" s="18">
        <v>7.39</v>
      </c>
      <c r="BN4" s="17">
        <v>28</v>
      </c>
      <c r="BO4" s="17">
        <v>88</v>
      </c>
      <c r="BP4" s="21">
        <v>17</v>
      </c>
      <c r="BQ4" s="21">
        <v>423</v>
      </c>
      <c r="BR4" s="18">
        <f>BO4/BQ4</f>
        <v>0.20803782505910165</v>
      </c>
      <c r="BT4" s="18">
        <v>2.2999999999999998</v>
      </c>
      <c r="BU4" s="20">
        <v>11</v>
      </c>
      <c r="BV4" s="22">
        <v>12.886854903027482</v>
      </c>
      <c r="BW4" s="18">
        <f t="shared" si="4"/>
        <v>1</v>
      </c>
      <c r="BX4" s="18">
        <f t="shared" si="5"/>
        <v>1</v>
      </c>
      <c r="BY4" s="18">
        <f t="shared" si="6"/>
        <v>1</v>
      </c>
      <c r="BZ4" s="18">
        <f t="shared" si="7"/>
        <v>3</v>
      </c>
      <c r="CA4" s="22">
        <v>1</v>
      </c>
      <c r="CB4" s="22">
        <v>1</v>
      </c>
      <c r="CC4" s="22">
        <v>1</v>
      </c>
      <c r="CD4" s="22">
        <v>0</v>
      </c>
      <c r="CE4" s="22">
        <v>0</v>
      </c>
      <c r="CF4" s="22">
        <f t="shared" si="8"/>
        <v>3</v>
      </c>
      <c r="CG4" s="22">
        <v>1</v>
      </c>
      <c r="CH4" s="22">
        <v>4</v>
      </c>
      <c r="CI4" s="23">
        <v>0</v>
      </c>
      <c r="CJ4" s="23">
        <v>0</v>
      </c>
      <c r="CK4" s="23">
        <v>1</v>
      </c>
      <c r="CL4" s="23">
        <v>0</v>
      </c>
      <c r="CM4" s="23">
        <v>4</v>
      </c>
      <c r="CN4" s="23" t="s">
        <v>219</v>
      </c>
      <c r="CO4" s="18" t="s">
        <v>437</v>
      </c>
      <c r="CP4" s="18" t="s">
        <v>235</v>
      </c>
      <c r="CQ4" s="18">
        <v>180</v>
      </c>
      <c r="CR4" s="18">
        <v>1100</v>
      </c>
      <c r="CS4" s="18" t="s">
        <v>236</v>
      </c>
      <c r="CT4" s="18" t="s">
        <v>207</v>
      </c>
      <c r="CU4" s="17">
        <v>1821</v>
      </c>
      <c r="CV4" s="18" t="s">
        <v>209</v>
      </c>
      <c r="CW4" s="17">
        <v>3100</v>
      </c>
      <c r="CX4" s="21">
        <v>1</v>
      </c>
      <c r="CY4" s="17">
        <v>3100</v>
      </c>
      <c r="CZ4" s="17">
        <v>2800</v>
      </c>
      <c r="DA4" s="17">
        <v>700</v>
      </c>
      <c r="DB4" s="17">
        <v>1</v>
      </c>
      <c r="DC4" s="17">
        <v>0</v>
      </c>
      <c r="DD4" s="17">
        <v>3</v>
      </c>
      <c r="DE4" s="17">
        <v>109</v>
      </c>
      <c r="DF4" s="17">
        <v>17</v>
      </c>
      <c r="DG4" s="21">
        <v>8.6</v>
      </c>
      <c r="DH4" s="18">
        <v>3.86</v>
      </c>
      <c r="DI4" s="18">
        <v>106</v>
      </c>
      <c r="DJ4" s="18">
        <v>32</v>
      </c>
      <c r="DK4" s="17">
        <v>183</v>
      </c>
      <c r="DL4" s="21">
        <v>13</v>
      </c>
      <c r="DM4" s="21">
        <v>48</v>
      </c>
      <c r="DN4" s="18"/>
      <c r="DO4" s="18"/>
      <c r="DP4" s="21">
        <v>27</v>
      </c>
      <c r="DQ4" s="18">
        <v>0.72</v>
      </c>
      <c r="DR4" s="18">
        <v>121</v>
      </c>
      <c r="DT4" s="10">
        <v>111</v>
      </c>
      <c r="DU4" s="10">
        <v>16</v>
      </c>
      <c r="DV4" s="10">
        <v>24</v>
      </c>
      <c r="DY4" s="18">
        <v>135</v>
      </c>
      <c r="DZ4" s="18">
        <v>3.4</v>
      </c>
      <c r="EA4" s="18">
        <v>108</v>
      </c>
      <c r="EB4" s="18"/>
      <c r="EC4" s="18">
        <v>158</v>
      </c>
      <c r="ED4" s="17">
        <v>327</v>
      </c>
      <c r="EE4" s="18">
        <v>7.37</v>
      </c>
      <c r="EF4" s="18">
        <v>43</v>
      </c>
      <c r="EG4" s="18">
        <v>83</v>
      </c>
      <c r="EH4" s="18">
        <v>24</v>
      </c>
      <c r="EI4" s="18">
        <f>EG4/0.21</f>
        <v>395.23809523809524</v>
      </c>
      <c r="EJ4" s="18">
        <f>EG4/EI4</f>
        <v>0.21</v>
      </c>
      <c r="EK4" s="10">
        <v>2.12</v>
      </c>
      <c r="EL4" s="18"/>
      <c r="EM4" s="18">
        <v>15</v>
      </c>
      <c r="EN4" s="22">
        <v>3</v>
      </c>
      <c r="EO4" s="22">
        <v>4.3981843668079526</v>
      </c>
      <c r="EP4" s="18">
        <f t="shared" si="9"/>
        <v>1</v>
      </c>
      <c r="EQ4" s="18">
        <f t="shared" si="10"/>
        <v>0</v>
      </c>
      <c r="ER4" s="18">
        <f t="shared" si="11"/>
        <v>0</v>
      </c>
      <c r="ES4" s="18">
        <f t="shared" si="12"/>
        <v>1</v>
      </c>
      <c r="ET4" s="22">
        <v>1</v>
      </c>
      <c r="EU4" s="22">
        <v>0</v>
      </c>
      <c r="EV4" s="22">
        <v>0</v>
      </c>
      <c r="EW4" s="22">
        <v>0</v>
      </c>
      <c r="EX4" s="22">
        <v>0</v>
      </c>
      <c r="EY4" s="22">
        <f t="shared" si="13"/>
        <v>1</v>
      </c>
      <c r="EZ4" s="22">
        <v>2</v>
      </c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7">
        <v>327</v>
      </c>
      <c r="FT4" s="18"/>
      <c r="FU4" s="18"/>
      <c r="FV4" s="18"/>
      <c r="FW4" s="18"/>
      <c r="FX4" s="18"/>
      <c r="FY4" s="18"/>
      <c r="FZ4" s="18"/>
      <c r="GA4" s="18"/>
      <c r="GB4" s="22">
        <v>2</v>
      </c>
      <c r="GC4" s="22">
        <v>3</v>
      </c>
      <c r="GD4" s="22">
        <v>0</v>
      </c>
      <c r="GE4" s="18"/>
      <c r="GF4" s="18">
        <f t="shared" si="14"/>
        <v>0.78655352480417751</v>
      </c>
      <c r="GG4" s="17">
        <f t="shared" si="15"/>
        <v>1205</v>
      </c>
      <c r="GH4" s="17">
        <f t="shared" si="16"/>
        <v>2</v>
      </c>
      <c r="GI4" s="17">
        <f t="shared" si="17"/>
        <v>8</v>
      </c>
    </row>
    <row r="5" spans="1:193" ht="18" customHeight="1" x14ac:dyDescent="0.45">
      <c r="A5" s="14">
        <v>3</v>
      </c>
      <c r="B5" s="35" t="s">
        <v>45</v>
      </c>
      <c r="C5" s="15" t="s">
        <v>46</v>
      </c>
      <c r="D5" s="16">
        <v>0</v>
      </c>
      <c r="E5" s="17">
        <v>1986</v>
      </c>
      <c r="F5" s="17">
        <f t="shared" si="0"/>
        <v>37</v>
      </c>
      <c r="G5" s="18" t="s">
        <v>237</v>
      </c>
      <c r="H5" s="18" t="s">
        <v>222</v>
      </c>
      <c r="I5" s="17">
        <v>0</v>
      </c>
      <c r="J5" s="18">
        <f t="shared" si="1"/>
        <v>3.84</v>
      </c>
      <c r="K5" s="17">
        <v>80</v>
      </c>
      <c r="L5" s="17">
        <v>173</v>
      </c>
      <c r="M5" s="18">
        <f t="shared" si="2"/>
        <v>26.729927495071667</v>
      </c>
      <c r="N5" s="17">
        <v>0</v>
      </c>
      <c r="O5" s="17">
        <v>0</v>
      </c>
      <c r="P5" s="17">
        <v>1</v>
      </c>
      <c r="Q5" s="17">
        <v>0</v>
      </c>
      <c r="R5" s="17">
        <v>0</v>
      </c>
      <c r="S5" s="17">
        <v>0</v>
      </c>
      <c r="T5" s="17">
        <v>1</v>
      </c>
      <c r="U5" s="17">
        <v>2</v>
      </c>
      <c r="V5" s="19">
        <v>44577</v>
      </c>
      <c r="W5" s="17">
        <v>48</v>
      </c>
      <c r="X5" s="20">
        <v>24</v>
      </c>
      <c r="Y5" s="17">
        <v>1</v>
      </c>
      <c r="Z5" s="17">
        <v>6</v>
      </c>
      <c r="AA5" s="17">
        <v>82</v>
      </c>
      <c r="AB5" s="17">
        <v>110</v>
      </c>
      <c r="AC5" s="17">
        <v>60</v>
      </c>
      <c r="AD5" s="18">
        <f t="shared" si="3"/>
        <v>76.666666666666657</v>
      </c>
      <c r="AE5" s="18">
        <v>20</v>
      </c>
      <c r="AF5" s="17">
        <v>37</v>
      </c>
      <c r="AG5" s="17">
        <v>1</v>
      </c>
      <c r="AH5" s="17">
        <v>1</v>
      </c>
      <c r="AI5" s="17">
        <v>0</v>
      </c>
      <c r="AJ5" s="17">
        <v>5</v>
      </c>
      <c r="AK5" s="18">
        <v>5.8</v>
      </c>
      <c r="AL5" s="18">
        <v>4.95</v>
      </c>
      <c r="AM5" s="18">
        <v>160</v>
      </c>
      <c r="AN5" s="18">
        <v>47</v>
      </c>
      <c r="AO5" s="18">
        <v>134</v>
      </c>
      <c r="AP5" s="18">
        <v>18</v>
      </c>
      <c r="AQ5" s="18">
        <v>30.6</v>
      </c>
      <c r="AR5" s="18">
        <v>7.93</v>
      </c>
      <c r="AT5" s="18"/>
      <c r="AU5" s="10">
        <v>369</v>
      </c>
      <c r="AV5" s="10">
        <v>61</v>
      </c>
      <c r="AW5" s="10">
        <v>26</v>
      </c>
      <c r="AX5" s="17">
        <v>31</v>
      </c>
      <c r="AY5" s="18">
        <v>2.44</v>
      </c>
      <c r="BA5" s="5">
        <v>0.48</v>
      </c>
      <c r="BB5" s="5">
        <v>0.03</v>
      </c>
      <c r="BC5" s="21">
        <v>33.799999999999997</v>
      </c>
      <c r="BD5" s="17">
        <v>131</v>
      </c>
      <c r="BE5" s="21">
        <v>5.9</v>
      </c>
      <c r="BF5" s="17">
        <v>102</v>
      </c>
      <c r="BG5" s="17">
        <v>1190</v>
      </c>
      <c r="BH5" s="17">
        <v>2664</v>
      </c>
      <c r="BI5" s="17">
        <v>2430</v>
      </c>
      <c r="BJ5" s="17">
        <v>112</v>
      </c>
      <c r="BK5" s="18"/>
      <c r="BL5" s="18"/>
      <c r="BM5" s="18">
        <v>7.2530000000000001</v>
      </c>
      <c r="BN5" s="17">
        <v>29.3</v>
      </c>
      <c r="BO5" s="17">
        <v>336.8</v>
      </c>
      <c r="BP5" s="21">
        <v>12.6</v>
      </c>
      <c r="BQ5" s="21">
        <f>BO5/BR5</f>
        <v>635.47169811320748</v>
      </c>
      <c r="BR5" s="18">
        <v>0.53</v>
      </c>
      <c r="BS5" s="10">
        <v>2.5</v>
      </c>
      <c r="BU5" s="20">
        <v>24</v>
      </c>
      <c r="BV5" s="22">
        <v>49.675004577005971</v>
      </c>
      <c r="BW5" s="18">
        <f t="shared" si="4"/>
        <v>0</v>
      </c>
      <c r="BX5" s="18">
        <f t="shared" si="5"/>
        <v>0</v>
      </c>
      <c r="BY5" s="18">
        <f t="shared" si="6"/>
        <v>1</v>
      </c>
      <c r="BZ5" s="18">
        <f t="shared" si="7"/>
        <v>1</v>
      </c>
      <c r="CA5" s="22">
        <v>1</v>
      </c>
      <c r="CB5" s="22">
        <v>1</v>
      </c>
      <c r="CC5" s="22">
        <v>0</v>
      </c>
      <c r="CD5" s="22">
        <v>0</v>
      </c>
      <c r="CE5" s="22">
        <v>1</v>
      </c>
      <c r="CF5" s="22">
        <f t="shared" si="8"/>
        <v>3</v>
      </c>
      <c r="CG5" s="22">
        <v>1</v>
      </c>
      <c r="CH5" s="22">
        <v>7</v>
      </c>
      <c r="CI5" s="23">
        <v>0</v>
      </c>
      <c r="CJ5" s="23">
        <v>0</v>
      </c>
      <c r="CK5" s="23">
        <v>1</v>
      </c>
      <c r="CL5" s="23">
        <v>0</v>
      </c>
      <c r="CM5" s="23">
        <v>4</v>
      </c>
      <c r="CN5" s="23" t="s">
        <v>219</v>
      </c>
      <c r="CO5" s="18" t="s">
        <v>356</v>
      </c>
      <c r="CP5" s="18" t="s">
        <v>235</v>
      </c>
      <c r="CQ5" s="18">
        <v>180</v>
      </c>
      <c r="CR5" s="18">
        <v>1500</v>
      </c>
      <c r="CS5" s="18" t="s">
        <v>236</v>
      </c>
      <c r="CT5" s="18" t="s">
        <v>207</v>
      </c>
      <c r="CU5" s="17">
        <f>BI5</f>
        <v>2430</v>
      </c>
      <c r="CV5" s="18" t="s">
        <v>209</v>
      </c>
      <c r="CW5" s="17">
        <v>2600</v>
      </c>
      <c r="CX5" s="21">
        <v>1.5</v>
      </c>
      <c r="CY5" s="17">
        <v>4000</v>
      </c>
      <c r="DB5" s="17">
        <v>1</v>
      </c>
      <c r="DC5" s="17">
        <v>0</v>
      </c>
      <c r="DD5" s="17">
        <v>3</v>
      </c>
      <c r="DE5" s="17">
        <v>72</v>
      </c>
      <c r="DF5" s="17">
        <v>17</v>
      </c>
      <c r="DG5" s="21">
        <v>5.9</v>
      </c>
      <c r="DH5" s="18">
        <v>3.84</v>
      </c>
      <c r="DI5" s="18">
        <v>125</v>
      </c>
      <c r="DJ5" s="18">
        <v>36.700000000000003</v>
      </c>
      <c r="DK5" s="17">
        <v>88</v>
      </c>
      <c r="DL5" s="21">
        <v>15.4</v>
      </c>
      <c r="DM5" s="21">
        <v>32.700000000000003</v>
      </c>
      <c r="DN5" s="18"/>
      <c r="DO5" s="18">
        <v>4</v>
      </c>
      <c r="DP5" s="21">
        <v>36.700000000000003</v>
      </c>
      <c r="DQ5" s="18">
        <v>2.82</v>
      </c>
      <c r="DR5" s="18">
        <v>27</v>
      </c>
      <c r="DS5" s="10">
        <v>32.9</v>
      </c>
      <c r="DT5" s="10">
        <v>1180</v>
      </c>
      <c r="DU5" s="10">
        <v>55</v>
      </c>
      <c r="DV5" s="10">
        <v>13</v>
      </c>
      <c r="DW5" s="10">
        <v>2.12</v>
      </c>
      <c r="DX5" s="10">
        <v>0.51</v>
      </c>
      <c r="DY5" s="18">
        <v>144</v>
      </c>
      <c r="DZ5" s="18">
        <v>4.33</v>
      </c>
      <c r="EA5" s="18">
        <v>107.5</v>
      </c>
      <c r="EB5" s="18"/>
      <c r="EC5" s="18"/>
      <c r="ED5" s="17">
        <v>323</v>
      </c>
      <c r="EE5" s="18">
        <v>7.29</v>
      </c>
      <c r="EF5" s="18">
        <v>30</v>
      </c>
      <c r="EG5" s="18">
        <v>89</v>
      </c>
      <c r="EH5" s="18">
        <v>16</v>
      </c>
      <c r="EI5" s="18">
        <f>EG5/0.3</f>
        <v>296.66666666666669</v>
      </c>
      <c r="EJ5" s="18">
        <f>EG5/EI5</f>
        <v>0.3</v>
      </c>
      <c r="EK5" s="10">
        <v>1.26</v>
      </c>
      <c r="EL5" s="18"/>
      <c r="EM5" s="18">
        <v>14</v>
      </c>
      <c r="EN5" s="22">
        <v>12</v>
      </c>
      <c r="EO5" s="22">
        <v>14.616523039738205</v>
      </c>
      <c r="EP5" s="18">
        <f t="shared" si="9"/>
        <v>0</v>
      </c>
      <c r="EQ5" s="18">
        <f t="shared" si="10"/>
        <v>0</v>
      </c>
      <c r="ER5" s="18">
        <f t="shared" si="11"/>
        <v>1</v>
      </c>
      <c r="ES5" s="18">
        <f t="shared" si="12"/>
        <v>1</v>
      </c>
      <c r="ET5" s="22">
        <v>1</v>
      </c>
      <c r="EU5" s="22">
        <v>0</v>
      </c>
      <c r="EV5" s="22">
        <v>0</v>
      </c>
      <c r="EW5" s="22">
        <v>0</v>
      </c>
      <c r="EX5" s="22">
        <v>1</v>
      </c>
      <c r="EY5" s="22">
        <f t="shared" si="13"/>
        <v>2</v>
      </c>
      <c r="EZ5" s="22">
        <v>7</v>
      </c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7">
        <v>323</v>
      </c>
      <c r="FT5" s="18"/>
      <c r="FU5" s="18"/>
      <c r="FV5" s="18"/>
      <c r="FW5" s="18"/>
      <c r="FX5" s="18"/>
      <c r="FY5" s="18"/>
      <c r="FZ5" s="18"/>
      <c r="GA5" s="18"/>
      <c r="GB5" s="22">
        <v>7</v>
      </c>
      <c r="GC5" s="22">
        <v>12</v>
      </c>
      <c r="GD5" s="22">
        <v>0</v>
      </c>
      <c r="GE5" s="18"/>
      <c r="GF5" s="18">
        <f t="shared" si="14"/>
        <v>0.86707818930041147</v>
      </c>
      <c r="GG5" s="17">
        <f t="shared" si="15"/>
        <v>2107</v>
      </c>
      <c r="GH5" s="17">
        <f t="shared" si="16"/>
        <v>1</v>
      </c>
      <c r="GI5" s="17">
        <f t="shared" si="17"/>
        <v>12</v>
      </c>
    </row>
    <row r="6" spans="1:193" ht="18" customHeight="1" x14ac:dyDescent="0.45">
      <c r="A6" s="14">
        <v>4</v>
      </c>
      <c r="B6" s="35" t="s">
        <v>25</v>
      </c>
      <c r="C6" s="15" t="s">
        <v>26</v>
      </c>
      <c r="D6" s="16">
        <v>0</v>
      </c>
      <c r="E6" s="17">
        <v>1989</v>
      </c>
      <c r="F6" s="17">
        <f t="shared" si="0"/>
        <v>34</v>
      </c>
      <c r="G6" s="18" t="s">
        <v>237</v>
      </c>
      <c r="H6" s="18" t="s">
        <v>286</v>
      </c>
      <c r="I6" s="17">
        <v>0</v>
      </c>
      <c r="J6" s="18">
        <f t="shared" si="1"/>
        <v>2.88</v>
      </c>
      <c r="K6" s="17">
        <v>60</v>
      </c>
      <c r="L6" s="17">
        <v>167</v>
      </c>
      <c r="M6" s="18">
        <f t="shared" si="2"/>
        <v>21.513858510523864</v>
      </c>
      <c r="N6" s="17">
        <v>0</v>
      </c>
      <c r="O6" s="17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9" t="s">
        <v>340</v>
      </c>
      <c r="W6" s="17">
        <v>24</v>
      </c>
      <c r="X6" s="20">
        <v>14</v>
      </c>
      <c r="Y6" s="17">
        <v>1</v>
      </c>
      <c r="Z6" s="17">
        <v>7</v>
      </c>
      <c r="AA6" s="17">
        <v>120</v>
      </c>
      <c r="AB6" s="17">
        <v>110</v>
      </c>
      <c r="AC6" s="17">
        <v>70</v>
      </c>
      <c r="AD6" s="18">
        <f t="shared" si="3"/>
        <v>83.333333333333329</v>
      </c>
      <c r="AE6" s="18">
        <v>20</v>
      </c>
      <c r="AF6" s="17">
        <v>38</v>
      </c>
      <c r="AG6" s="17">
        <v>1</v>
      </c>
      <c r="AH6" s="17">
        <v>1</v>
      </c>
      <c r="AI6" s="17">
        <v>1</v>
      </c>
      <c r="AJ6" s="17">
        <v>15</v>
      </c>
      <c r="AK6" s="18">
        <v>18</v>
      </c>
      <c r="AL6" s="18">
        <v>4.8</v>
      </c>
      <c r="AM6" s="18">
        <v>165</v>
      </c>
      <c r="AN6" s="18">
        <v>49.7</v>
      </c>
      <c r="AO6" s="18">
        <v>153</v>
      </c>
      <c r="AP6" s="18">
        <v>14</v>
      </c>
      <c r="AQ6" s="18">
        <v>39</v>
      </c>
      <c r="AR6" s="18">
        <v>10</v>
      </c>
      <c r="AT6" s="18"/>
      <c r="AV6" s="10">
        <v>74</v>
      </c>
      <c r="AW6" s="10">
        <v>2.86</v>
      </c>
      <c r="AX6" s="17">
        <v>29</v>
      </c>
      <c r="AY6" s="18">
        <v>2.4</v>
      </c>
      <c r="AZ6" s="10">
        <v>48.6</v>
      </c>
      <c r="BC6" s="21">
        <v>33</v>
      </c>
      <c r="BD6" s="17">
        <v>130</v>
      </c>
      <c r="BE6" s="21">
        <v>4.2</v>
      </c>
      <c r="BF6" s="17">
        <v>99</v>
      </c>
      <c r="BG6" s="17">
        <v>732</v>
      </c>
      <c r="BH6" s="17">
        <v>1470</v>
      </c>
      <c r="BI6" s="17">
        <v>2730</v>
      </c>
      <c r="BJ6" s="17">
        <v>187</v>
      </c>
      <c r="BK6" s="18">
        <v>8</v>
      </c>
      <c r="BL6" s="18"/>
      <c r="BM6" s="18">
        <v>7.35</v>
      </c>
      <c r="BN6" s="17">
        <v>22</v>
      </c>
      <c r="BO6" s="17">
        <v>96</v>
      </c>
      <c r="BP6" s="21">
        <v>12</v>
      </c>
      <c r="BR6" s="18"/>
      <c r="BU6" s="20">
        <v>14</v>
      </c>
      <c r="BV6" s="22">
        <v>18.648705693704155</v>
      </c>
      <c r="BW6" s="18">
        <f t="shared" si="4"/>
        <v>1</v>
      </c>
      <c r="BX6" s="18">
        <f t="shared" si="5"/>
        <v>0</v>
      </c>
      <c r="BY6" s="18">
        <f t="shared" si="6"/>
        <v>1</v>
      </c>
      <c r="BZ6" s="18">
        <f t="shared" si="7"/>
        <v>2</v>
      </c>
      <c r="CA6" s="22">
        <v>1</v>
      </c>
      <c r="CB6" s="22">
        <v>0</v>
      </c>
      <c r="CC6" s="22">
        <v>1</v>
      </c>
      <c r="CD6" s="22">
        <v>0</v>
      </c>
      <c r="CE6" s="22">
        <v>1</v>
      </c>
      <c r="CF6" s="22">
        <f t="shared" si="8"/>
        <v>3</v>
      </c>
      <c r="CG6" s="22">
        <v>1</v>
      </c>
      <c r="CH6" s="22">
        <v>2</v>
      </c>
      <c r="CI6" s="23">
        <v>0</v>
      </c>
      <c r="CJ6" s="23">
        <v>0</v>
      </c>
      <c r="CK6" s="23">
        <v>0</v>
      </c>
      <c r="CL6" s="23">
        <v>0</v>
      </c>
      <c r="CM6" s="23">
        <v>4</v>
      </c>
      <c r="CN6" s="23" t="s">
        <v>203</v>
      </c>
      <c r="CO6" s="18" t="s">
        <v>341</v>
      </c>
      <c r="CP6" s="18" t="s">
        <v>205</v>
      </c>
      <c r="CQ6" s="18">
        <v>150</v>
      </c>
      <c r="CR6" s="18">
        <v>1200</v>
      </c>
      <c r="CS6" s="18" t="s">
        <v>206</v>
      </c>
      <c r="CT6" s="18" t="s">
        <v>207</v>
      </c>
      <c r="CU6" s="17">
        <f>BI6</f>
        <v>2730</v>
      </c>
      <c r="CV6" s="18" t="s">
        <v>208</v>
      </c>
      <c r="CW6" s="17">
        <v>1700</v>
      </c>
      <c r="CX6" s="21">
        <v>1.5</v>
      </c>
      <c r="CY6" s="17">
        <v>2600</v>
      </c>
      <c r="DB6" s="17">
        <v>1</v>
      </c>
      <c r="DC6" s="17">
        <v>1</v>
      </c>
      <c r="DD6" s="17">
        <v>3</v>
      </c>
      <c r="DE6" s="17">
        <v>110</v>
      </c>
      <c r="DF6" s="17">
        <v>16</v>
      </c>
      <c r="DG6" s="21">
        <v>18</v>
      </c>
      <c r="DH6" s="18">
        <v>3.2</v>
      </c>
      <c r="DI6" s="18">
        <v>111</v>
      </c>
      <c r="DJ6" s="18">
        <v>33</v>
      </c>
      <c r="DK6" s="17">
        <v>60</v>
      </c>
      <c r="DL6" s="21">
        <v>12</v>
      </c>
      <c r="DM6" s="21">
        <v>59</v>
      </c>
      <c r="DN6" s="18"/>
      <c r="DO6" s="18">
        <v>5.5</v>
      </c>
      <c r="DP6" s="21">
        <v>25</v>
      </c>
      <c r="DQ6" s="18">
        <v>1.1000000000000001</v>
      </c>
      <c r="DR6" s="18">
        <v>87</v>
      </c>
      <c r="DY6" s="18">
        <v>133</v>
      </c>
      <c r="DZ6" s="18">
        <v>3</v>
      </c>
      <c r="EA6" s="18">
        <v>102</v>
      </c>
      <c r="EB6" s="18"/>
      <c r="EC6" s="18"/>
      <c r="ED6" s="17">
        <v>166</v>
      </c>
      <c r="EE6" s="18">
        <v>7.48</v>
      </c>
      <c r="EF6" s="18">
        <v>14</v>
      </c>
      <c r="EG6" s="18">
        <v>70</v>
      </c>
      <c r="EH6" s="18">
        <v>11</v>
      </c>
      <c r="EI6" s="18">
        <v>335</v>
      </c>
      <c r="EJ6" s="18">
        <f>EG6/EI6</f>
        <v>0.20895522388059701</v>
      </c>
      <c r="EK6" s="10">
        <v>2.2799999999999998</v>
      </c>
      <c r="EL6" s="18"/>
      <c r="EM6" s="18">
        <v>15</v>
      </c>
      <c r="EN6" s="22">
        <v>9</v>
      </c>
      <c r="EO6" s="22">
        <v>9.9481411429015392</v>
      </c>
      <c r="EP6" s="18">
        <f t="shared" si="9"/>
        <v>1</v>
      </c>
      <c r="EQ6" s="18">
        <f t="shared" si="10"/>
        <v>0</v>
      </c>
      <c r="ER6" s="18">
        <f t="shared" si="11"/>
        <v>0</v>
      </c>
      <c r="ES6" s="18">
        <f t="shared" si="12"/>
        <v>1</v>
      </c>
      <c r="ET6" s="22">
        <v>0</v>
      </c>
      <c r="EU6" s="22">
        <v>0</v>
      </c>
      <c r="EV6" s="22">
        <v>1</v>
      </c>
      <c r="EW6" s="22">
        <v>0</v>
      </c>
      <c r="EX6" s="22">
        <v>1</v>
      </c>
      <c r="EY6" s="22">
        <f t="shared" si="13"/>
        <v>2</v>
      </c>
      <c r="EZ6" s="22">
        <v>2</v>
      </c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7">
        <v>166</v>
      </c>
      <c r="FT6" s="18"/>
      <c r="FU6" s="18"/>
      <c r="FV6" s="18"/>
      <c r="FW6" s="18"/>
      <c r="FX6" s="18"/>
      <c r="FY6" s="18"/>
      <c r="FZ6" s="18"/>
      <c r="GA6" s="18"/>
      <c r="GB6" s="22">
        <v>2</v>
      </c>
      <c r="GC6" s="22">
        <v>9</v>
      </c>
      <c r="GD6" s="22">
        <v>0</v>
      </c>
      <c r="GE6" s="18"/>
      <c r="GF6" s="18">
        <f t="shared" si="14"/>
        <v>0.93919413919413919</v>
      </c>
      <c r="GG6" s="17">
        <f t="shared" si="15"/>
        <v>2564</v>
      </c>
      <c r="GH6" s="17">
        <f t="shared" si="16"/>
        <v>1</v>
      </c>
      <c r="GI6" s="17">
        <f t="shared" si="17"/>
        <v>5</v>
      </c>
    </row>
    <row r="7" spans="1:193" ht="18" customHeight="1" x14ac:dyDescent="0.45">
      <c r="A7" s="14">
        <v>5</v>
      </c>
      <c r="B7" s="35" t="s">
        <v>342</v>
      </c>
      <c r="C7" s="15" t="s">
        <v>300</v>
      </c>
      <c r="D7" s="16">
        <v>0</v>
      </c>
      <c r="E7" s="17">
        <v>1964</v>
      </c>
      <c r="F7" s="17">
        <f t="shared" si="0"/>
        <v>59</v>
      </c>
      <c r="G7" s="18" t="s">
        <v>211</v>
      </c>
      <c r="H7" s="18" t="s">
        <v>212</v>
      </c>
      <c r="I7" s="17">
        <v>0</v>
      </c>
      <c r="J7" s="18">
        <f t="shared" si="1"/>
        <v>2.64</v>
      </c>
      <c r="K7" s="17">
        <v>55</v>
      </c>
      <c r="L7" s="17">
        <v>168</v>
      </c>
      <c r="M7" s="18">
        <f t="shared" si="2"/>
        <v>19.486961451247168</v>
      </c>
      <c r="N7" s="17">
        <v>0</v>
      </c>
      <c r="O7" s="17">
        <v>0</v>
      </c>
      <c r="P7" s="17">
        <v>1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9">
        <v>44748</v>
      </c>
      <c r="W7" s="17">
        <v>72</v>
      </c>
      <c r="X7" s="20">
        <v>33</v>
      </c>
      <c r="Y7" s="17">
        <v>1</v>
      </c>
      <c r="Z7" s="17">
        <v>240</v>
      </c>
      <c r="AA7" s="17">
        <v>138</v>
      </c>
      <c r="AB7" s="17">
        <v>130</v>
      </c>
      <c r="AC7" s="17">
        <v>80</v>
      </c>
      <c r="AD7" s="18">
        <f t="shared" si="3"/>
        <v>96.666666666666657</v>
      </c>
      <c r="AE7" s="18">
        <v>20</v>
      </c>
      <c r="AF7" s="17">
        <v>37</v>
      </c>
      <c r="AG7" s="17">
        <v>1</v>
      </c>
      <c r="AH7" s="17">
        <v>1</v>
      </c>
      <c r="AI7" s="17">
        <v>0</v>
      </c>
      <c r="AJ7" s="17">
        <v>3</v>
      </c>
      <c r="AK7" s="18">
        <v>37</v>
      </c>
      <c r="AL7" s="18">
        <v>4.26</v>
      </c>
      <c r="AM7" s="18">
        <v>146</v>
      </c>
      <c r="AN7" s="18">
        <v>44.3</v>
      </c>
      <c r="AO7" s="18">
        <v>124</v>
      </c>
      <c r="AP7" s="18">
        <v>13</v>
      </c>
      <c r="AQ7" s="18">
        <v>36</v>
      </c>
      <c r="AR7" s="18">
        <v>3.75</v>
      </c>
      <c r="AT7" s="18"/>
      <c r="AV7" s="10">
        <v>25</v>
      </c>
      <c r="AW7" s="10">
        <v>39</v>
      </c>
      <c r="AX7" s="17">
        <v>21</v>
      </c>
      <c r="AY7" s="18">
        <v>2.91</v>
      </c>
      <c r="BA7" s="5">
        <v>0.73</v>
      </c>
      <c r="BB7" s="5">
        <v>0.65</v>
      </c>
      <c r="BC7" s="21">
        <v>22.7</v>
      </c>
      <c r="BD7" s="17">
        <v>142</v>
      </c>
      <c r="BE7" s="21">
        <v>3.9</v>
      </c>
      <c r="BF7" s="17">
        <v>111</v>
      </c>
      <c r="BG7" s="17">
        <v>203</v>
      </c>
      <c r="BH7" s="17">
        <v>624</v>
      </c>
      <c r="BI7" s="17">
        <v>3770</v>
      </c>
      <c r="BJ7" s="17">
        <v>166</v>
      </c>
      <c r="BK7" s="18"/>
      <c r="BL7" s="18"/>
      <c r="BM7" s="18">
        <v>6.96</v>
      </c>
      <c r="BN7" s="17">
        <v>44</v>
      </c>
      <c r="BO7" s="17">
        <v>186</v>
      </c>
      <c r="BP7" s="21">
        <v>9.8000000000000007</v>
      </c>
      <c r="BQ7" s="21">
        <f>BO7/BR7</f>
        <v>320.68965517241384</v>
      </c>
      <c r="BR7" s="18">
        <v>0.57999999999999996</v>
      </c>
      <c r="BS7" s="10">
        <v>2.2799999999999998</v>
      </c>
      <c r="BT7" s="18">
        <v>0.76</v>
      </c>
      <c r="BU7" s="20">
        <v>33</v>
      </c>
      <c r="BV7" s="22">
        <v>78.600323329919746</v>
      </c>
      <c r="BW7" s="18">
        <f t="shared" si="4"/>
        <v>1</v>
      </c>
      <c r="BX7" s="18">
        <f t="shared" si="5"/>
        <v>0</v>
      </c>
      <c r="BY7" s="18">
        <f t="shared" si="6"/>
        <v>0</v>
      </c>
      <c r="BZ7" s="18">
        <f t="shared" si="7"/>
        <v>1</v>
      </c>
      <c r="CA7" s="22">
        <v>0</v>
      </c>
      <c r="CB7" s="22">
        <v>1</v>
      </c>
      <c r="CC7" s="22">
        <v>1</v>
      </c>
      <c r="CD7" s="22">
        <v>0</v>
      </c>
      <c r="CE7" s="22">
        <v>1</v>
      </c>
      <c r="CF7" s="22">
        <f t="shared" si="8"/>
        <v>3</v>
      </c>
      <c r="CG7" s="22">
        <v>2</v>
      </c>
      <c r="CH7" s="22">
        <v>8</v>
      </c>
      <c r="CI7" s="23">
        <v>0</v>
      </c>
      <c r="CJ7" s="23">
        <v>0</v>
      </c>
      <c r="CK7" s="23">
        <v>1</v>
      </c>
      <c r="CL7" s="23">
        <v>0</v>
      </c>
      <c r="CM7" s="23">
        <v>3</v>
      </c>
      <c r="CN7" s="23" t="s">
        <v>219</v>
      </c>
      <c r="CO7" s="18" t="s">
        <v>284</v>
      </c>
      <c r="CP7" s="18" t="s">
        <v>235</v>
      </c>
      <c r="CQ7" s="18">
        <v>150</v>
      </c>
      <c r="CR7" s="18">
        <v>1500</v>
      </c>
      <c r="CS7" s="18" t="s">
        <v>236</v>
      </c>
      <c r="CT7" s="18" t="s">
        <v>207</v>
      </c>
      <c r="CU7" s="17">
        <f>BI7</f>
        <v>3770</v>
      </c>
      <c r="CV7" s="18" t="s">
        <v>208</v>
      </c>
      <c r="CW7" s="17">
        <v>2700</v>
      </c>
      <c r="CX7" s="21">
        <v>1.5</v>
      </c>
      <c r="CY7" s="17">
        <v>4000</v>
      </c>
      <c r="DB7" s="17">
        <v>1</v>
      </c>
      <c r="DC7" s="1">
        <v>14</v>
      </c>
      <c r="DD7" s="17">
        <v>3</v>
      </c>
      <c r="DE7" s="17">
        <v>128</v>
      </c>
      <c r="DF7" s="17">
        <v>18</v>
      </c>
      <c r="DG7" s="21">
        <v>11.4</v>
      </c>
      <c r="DH7" s="18">
        <v>3.25</v>
      </c>
      <c r="DI7" s="18">
        <v>113</v>
      </c>
      <c r="DJ7" s="18">
        <v>32.799999999999997</v>
      </c>
      <c r="DK7" s="17">
        <v>114</v>
      </c>
      <c r="DL7" s="21">
        <v>20.100000000000001</v>
      </c>
      <c r="DM7" s="21">
        <v>93.6</v>
      </c>
      <c r="DN7" s="18"/>
      <c r="DO7" s="18">
        <v>4.38</v>
      </c>
      <c r="DP7" s="21">
        <v>14.8</v>
      </c>
      <c r="DQ7" s="18">
        <v>2.48</v>
      </c>
      <c r="DR7" s="18">
        <v>27.55</v>
      </c>
      <c r="DY7" s="18">
        <v>138</v>
      </c>
      <c r="DZ7" s="18">
        <v>5.0999999999999996</v>
      </c>
      <c r="EA7" s="18">
        <v>105.3</v>
      </c>
      <c r="EB7" s="18"/>
      <c r="EC7" s="18"/>
      <c r="ED7" s="17">
        <v>209</v>
      </c>
      <c r="EE7" s="18">
        <v>7.29</v>
      </c>
      <c r="EF7" s="18">
        <v>35.4</v>
      </c>
      <c r="EG7" s="18">
        <v>137.4</v>
      </c>
      <c r="EH7" s="18">
        <v>17.399999999999999</v>
      </c>
      <c r="EI7" s="18">
        <f>EG7/EJ7</f>
        <v>458.00000000000006</v>
      </c>
      <c r="EJ7" s="18">
        <v>0.3</v>
      </c>
      <c r="EK7" s="10">
        <v>1.86</v>
      </c>
      <c r="EL7" s="18"/>
      <c r="EM7" s="18">
        <v>8</v>
      </c>
      <c r="EN7" s="22">
        <v>23</v>
      </c>
      <c r="EO7" s="22">
        <v>46.033353214124759</v>
      </c>
      <c r="EP7" s="18">
        <f t="shared" si="9"/>
        <v>1</v>
      </c>
      <c r="EQ7" s="18">
        <f t="shared" si="10"/>
        <v>0</v>
      </c>
      <c r="ER7" s="18">
        <f t="shared" si="11"/>
        <v>0</v>
      </c>
      <c r="ES7" s="18">
        <f t="shared" si="12"/>
        <v>1</v>
      </c>
      <c r="ET7" s="22">
        <v>0</v>
      </c>
      <c r="EU7" s="22">
        <v>1</v>
      </c>
      <c r="EV7" s="22">
        <v>1</v>
      </c>
      <c r="EW7" s="22">
        <v>0</v>
      </c>
      <c r="EX7" s="22">
        <v>1</v>
      </c>
      <c r="EY7" s="22">
        <f t="shared" si="13"/>
        <v>3</v>
      </c>
      <c r="EZ7" s="22">
        <v>8</v>
      </c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7">
        <v>209</v>
      </c>
      <c r="FT7" s="18"/>
      <c r="FU7" s="18"/>
      <c r="FV7" s="18"/>
      <c r="FW7" s="18"/>
      <c r="FX7" s="18"/>
      <c r="FY7" s="18"/>
      <c r="FZ7" s="18"/>
      <c r="GA7" s="18"/>
      <c r="GB7" s="22">
        <v>8</v>
      </c>
      <c r="GC7" s="22">
        <v>23</v>
      </c>
      <c r="GD7" s="22">
        <v>0</v>
      </c>
      <c r="GE7" s="18"/>
      <c r="GF7" s="18">
        <f t="shared" si="14"/>
        <v>0.94456233421750668</v>
      </c>
      <c r="GG7" s="17">
        <f t="shared" si="15"/>
        <v>3561</v>
      </c>
      <c r="GH7" s="17">
        <f t="shared" si="16"/>
        <v>0</v>
      </c>
      <c r="GI7" s="17">
        <f t="shared" si="17"/>
        <v>10</v>
      </c>
    </row>
    <row r="8" spans="1:193" ht="18" customHeight="1" x14ac:dyDescent="0.45">
      <c r="A8" s="14">
        <v>6</v>
      </c>
      <c r="B8" s="35" t="s">
        <v>2</v>
      </c>
      <c r="C8" s="15" t="s">
        <v>3</v>
      </c>
      <c r="D8" s="16">
        <v>0</v>
      </c>
      <c r="E8" s="17">
        <v>1988</v>
      </c>
      <c r="F8" s="17">
        <f t="shared" si="0"/>
        <v>35</v>
      </c>
      <c r="G8" s="18" t="s">
        <v>237</v>
      </c>
      <c r="H8" s="18" t="s">
        <v>234</v>
      </c>
      <c r="I8" s="17">
        <v>1</v>
      </c>
      <c r="J8" s="18">
        <f t="shared" si="1"/>
        <v>2.88</v>
      </c>
      <c r="K8" s="17">
        <v>60</v>
      </c>
      <c r="L8" s="17">
        <v>155</v>
      </c>
      <c r="M8" s="18">
        <f t="shared" si="2"/>
        <v>24.973985431841829</v>
      </c>
      <c r="N8" s="17">
        <v>0</v>
      </c>
      <c r="O8" s="17">
        <v>1</v>
      </c>
      <c r="P8" s="17">
        <v>0</v>
      </c>
      <c r="Q8" s="17">
        <v>0</v>
      </c>
      <c r="R8" s="17">
        <v>1</v>
      </c>
      <c r="S8" s="17">
        <v>0</v>
      </c>
      <c r="T8" s="17">
        <v>1</v>
      </c>
      <c r="U8" s="17">
        <v>1</v>
      </c>
      <c r="V8" s="19" t="s">
        <v>450</v>
      </c>
      <c r="W8" s="17">
        <v>24</v>
      </c>
      <c r="X8" s="20">
        <v>8</v>
      </c>
      <c r="Y8" s="17">
        <v>1</v>
      </c>
      <c r="Z8" s="17">
        <v>14</v>
      </c>
      <c r="AA8" s="17">
        <v>98</v>
      </c>
      <c r="AB8" s="17">
        <v>120</v>
      </c>
      <c r="AC8" s="17">
        <v>70</v>
      </c>
      <c r="AD8" s="18">
        <f t="shared" si="3"/>
        <v>86.666666666666657</v>
      </c>
      <c r="AE8" s="18">
        <v>16</v>
      </c>
      <c r="AF8" s="17">
        <v>37</v>
      </c>
      <c r="AG8" s="17">
        <v>1</v>
      </c>
      <c r="AH8" s="17">
        <v>0</v>
      </c>
      <c r="AI8" s="17">
        <v>0</v>
      </c>
      <c r="AJ8" s="17">
        <v>14</v>
      </c>
      <c r="AK8" s="18">
        <v>13.4</v>
      </c>
      <c r="AL8" s="18">
        <v>6.4</v>
      </c>
      <c r="AM8" s="18">
        <v>136</v>
      </c>
      <c r="AN8" s="18">
        <v>41</v>
      </c>
      <c r="AO8" s="18">
        <v>200</v>
      </c>
      <c r="AP8" s="18">
        <v>13</v>
      </c>
      <c r="AQ8" s="18">
        <v>34</v>
      </c>
      <c r="AR8" s="18"/>
      <c r="AS8" s="21">
        <v>6.4</v>
      </c>
      <c r="AT8" s="18"/>
      <c r="AV8" s="10">
        <v>50</v>
      </c>
      <c r="AW8" s="10">
        <v>33</v>
      </c>
      <c r="AX8" s="17">
        <v>18</v>
      </c>
      <c r="AY8" s="18">
        <v>0.45</v>
      </c>
      <c r="BA8" s="5">
        <v>0.5</v>
      </c>
      <c r="BB8" s="10">
        <v>0.13</v>
      </c>
      <c r="BC8" s="21">
        <v>162</v>
      </c>
      <c r="BD8" s="17">
        <v>127</v>
      </c>
      <c r="BE8" s="21">
        <v>3.4</v>
      </c>
      <c r="BF8" s="17">
        <v>99</v>
      </c>
      <c r="BH8" s="17">
        <v>1509</v>
      </c>
      <c r="BI8" s="17">
        <v>4202</v>
      </c>
      <c r="BJ8" s="17">
        <v>49</v>
      </c>
      <c r="BK8" s="18"/>
      <c r="BL8" s="18">
        <v>0.61</v>
      </c>
      <c r="BM8" s="18">
        <v>7.38</v>
      </c>
      <c r="BN8" s="17">
        <v>34</v>
      </c>
      <c r="BO8" s="17">
        <v>94</v>
      </c>
      <c r="BP8" s="21">
        <v>21</v>
      </c>
      <c r="BQ8" s="21">
        <v>449</v>
      </c>
      <c r="BR8" s="18">
        <f>BO8/BQ8</f>
        <v>0.20935412026726058</v>
      </c>
      <c r="BS8" s="10">
        <v>1.56</v>
      </c>
      <c r="BT8" s="18">
        <v>1.3</v>
      </c>
      <c r="BU8" s="20">
        <v>8</v>
      </c>
      <c r="BV8" s="22">
        <v>8.7145290593121416</v>
      </c>
      <c r="BW8" s="18">
        <f t="shared" si="4"/>
        <v>1</v>
      </c>
      <c r="BX8" s="18">
        <f t="shared" si="5"/>
        <v>0</v>
      </c>
      <c r="BY8" s="18">
        <f t="shared" si="6"/>
        <v>0</v>
      </c>
      <c r="BZ8" s="18">
        <f t="shared" si="7"/>
        <v>1</v>
      </c>
      <c r="CA8" s="22">
        <v>0</v>
      </c>
      <c r="CB8" s="22">
        <v>0</v>
      </c>
      <c r="CC8" s="22">
        <v>1</v>
      </c>
      <c r="CD8" s="22">
        <v>0</v>
      </c>
      <c r="CE8" s="22">
        <v>0</v>
      </c>
      <c r="CF8" s="22">
        <f t="shared" si="8"/>
        <v>1</v>
      </c>
      <c r="CG8" s="22">
        <v>0</v>
      </c>
      <c r="CH8" s="22">
        <v>1</v>
      </c>
      <c r="CI8" s="23">
        <v>0</v>
      </c>
      <c r="CJ8" s="23">
        <v>1</v>
      </c>
      <c r="CK8" s="23">
        <v>0</v>
      </c>
      <c r="CL8" s="23">
        <v>1</v>
      </c>
      <c r="CM8" s="23">
        <v>4</v>
      </c>
      <c r="CN8" s="23" t="s">
        <v>219</v>
      </c>
      <c r="CO8" s="18" t="s">
        <v>451</v>
      </c>
      <c r="CP8" s="18" t="s">
        <v>235</v>
      </c>
      <c r="CQ8" s="18">
        <v>150</v>
      </c>
      <c r="CR8" s="18">
        <v>900</v>
      </c>
      <c r="CS8" s="18" t="s">
        <v>236</v>
      </c>
      <c r="CT8" s="18" t="s">
        <v>207</v>
      </c>
      <c r="CU8" s="17">
        <v>4093</v>
      </c>
      <c r="CV8" s="18" t="s">
        <v>209</v>
      </c>
      <c r="CW8" s="17">
        <v>3500</v>
      </c>
      <c r="CX8" s="21">
        <v>1</v>
      </c>
      <c r="CY8" s="17">
        <v>3500</v>
      </c>
      <c r="CZ8" s="17">
        <v>1500</v>
      </c>
      <c r="DA8" s="17">
        <v>1000</v>
      </c>
      <c r="DB8" s="17">
        <v>2</v>
      </c>
      <c r="DC8" s="17">
        <v>0</v>
      </c>
      <c r="DD8" s="17">
        <v>5</v>
      </c>
      <c r="DE8" s="17">
        <v>88</v>
      </c>
      <c r="DF8" s="17">
        <v>12</v>
      </c>
      <c r="DG8" s="21">
        <v>13</v>
      </c>
      <c r="DH8" s="18">
        <v>5.2</v>
      </c>
      <c r="DI8" s="18">
        <v>114</v>
      </c>
      <c r="DJ8" s="18">
        <v>34</v>
      </c>
      <c r="DK8" s="17">
        <v>101</v>
      </c>
      <c r="DL8" s="21">
        <v>29</v>
      </c>
      <c r="DM8" s="21">
        <v>140</v>
      </c>
      <c r="DN8" s="18"/>
      <c r="DO8" s="18"/>
      <c r="DP8" s="21">
        <v>14</v>
      </c>
      <c r="DQ8" s="18">
        <v>0.54</v>
      </c>
      <c r="DR8" s="18">
        <v>114</v>
      </c>
      <c r="DU8" s="10">
        <v>34</v>
      </c>
      <c r="DV8" s="10">
        <v>18</v>
      </c>
      <c r="DW8" s="10">
        <v>0.35</v>
      </c>
      <c r="DX8" s="10">
        <v>0.06</v>
      </c>
      <c r="DY8" s="18">
        <v>137</v>
      </c>
      <c r="DZ8" s="18">
        <v>3.6</v>
      </c>
      <c r="EA8" s="18">
        <v>115</v>
      </c>
      <c r="EB8" s="18"/>
      <c r="EC8" s="18"/>
      <c r="ED8" s="17">
        <v>335</v>
      </c>
      <c r="EE8" s="18">
        <v>7.38</v>
      </c>
      <c r="EF8" s="18">
        <v>45</v>
      </c>
      <c r="EG8" s="18">
        <v>77</v>
      </c>
      <c r="EH8" s="18">
        <v>26</v>
      </c>
      <c r="EI8" s="18">
        <f>EG8/0.21</f>
        <v>366.66666666666669</v>
      </c>
      <c r="EJ8" s="18">
        <f>EG8/EI8</f>
        <v>0.21</v>
      </c>
      <c r="EK8" s="10">
        <v>2.34</v>
      </c>
      <c r="EL8" s="18"/>
      <c r="EM8" s="18">
        <v>15</v>
      </c>
      <c r="EN8" s="22">
        <v>2</v>
      </c>
      <c r="EO8" s="22">
        <v>3.8235691765958144</v>
      </c>
      <c r="EP8" s="18">
        <f t="shared" si="9"/>
        <v>0</v>
      </c>
      <c r="EQ8" s="18">
        <f t="shared" si="10"/>
        <v>0</v>
      </c>
      <c r="ER8" s="18">
        <f t="shared" si="11"/>
        <v>0</v>
      </c>
      <c r="ES8" s="18">
        <f t="shared" si="12"/>
        <v>0</v>
      </c>
      <c r="ET8" s="22">
        <v>0</v>
      </c>
      <c r="EU8" s="22">
        <v>0</v>
      </c>
      <c r="EV8" s="22">
        <v>1</v>
      </c>
      <c r="EW8" s="22">
        <v>0</v>
      </c>
      <c r="EX8" s="22">
        <v>0</v>
      </c>
      <c r="EY8" s="22">
        <f t="shared" si="13"/>
        <v>1</v>
      </c>
      <c r="EZ8" s="22">
        <v>0</v>
      </c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7">
        <v>335</v>
      </c>
      <c r="FT8" s="18"/>
      <c r="FU8" s="18"/>
      <c r="FV8" s="18"/>
      <c r="FW8" s="18"/>
      <c r="FX8" s="18"/>
      <c r="FY8" s="18"/>
      <c r="FZ8" s="18"/>
      <c r="GA8" s="18"/>
      <c r="GB8" s="22">
        <v>0</v>
      </c>
      <c r="GC8" s="22">
        <v>2</v>
      </c>
      <c r="GD8" s="22">
        <v>0</v>
      </c>
      <c r="GE8" s="18"/>
      <c r="GF8" s="18">
        <f t="shared" si="14"/>
        <v>0.92027605901951448</v>
      </c>
      <c r="GG8" s="17">
        <f t="shared" si="15"/>
        <v>3867</v>
      </c>
      <c r="GH8" s="17">
        <f t="shared" si="16"/>
        <v>0</v>
      </c>
      <c r="GI8" s="17">
        <f t="shared" si="17"/>
        <v>6</v>
      </c>
    </row>
    <row r="9" spans="1:193" ht="18" customHeight="1" x14ac:dyDescent="0.45">
      <c r="A9" s="14">
        <v>7</v>
      </c>
      <c r="B9" s="35" t="s">
        <v>29</v>
      </c>
      <c r="C9" s="15" t="s">
        <v>30</v>
      </c>
      <c r="D9" s="16">
        <v>0</v>
      </c>
      <c r="E9" s="17">
        <v>1979</v>
      </c>
      <c r="F9" s="17">
        <f t="shared" si="0"/>
        <v>44</v>
      </c>
      <c r="G9" s="18" t="s">
        <v>237</v>
      </c>
      <c r="H9" s="18" t="s">
        <v>222</v>
      </c>
      <c r="I9" s="17">
        <v>1</v>
      </c>
      <c r="J9" s="18">
        <f t="shared" si="1"/>
        <v>2.64</v>
      </c>
      <c r="K9" s="17">
        <v>55</v>
      </c>
      <c r="L9" s="17">
        <v>168</v>
      </c>
      <c r="M9" s="18">
        <f t="shared" si="2"/>
        <v>19.486961451247168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9" t="s">
        <v>245</v>
      </c>
      <c r="W9" s="17">
        <v>72</v>
      </c>
      <c r="X9" s="20">
        <v>14</v>
      </c>
      <c r="Y9" s="17">
        <v>2</v>
      </c>
      <c r="Z9" s="17">
        <v>7</v>
      </c>
      <c r="AA9" s="17">
        <v>120</v>
      </c>
      <c r="AB9" s="17">
        <v>120</v>
      </c>
      <c r="AC9" s="17">
        <v>80</v>
      </c>
      <c r="AD9" s="18">
        <f t="shared" si="3"/>
        <v>93.333333333333329</v>
      </c>
      <c r="AE9" s="18">
        <v>18</v>
      </c>
      <c r="AF9" s="17">
        <v>37</v>
      </c>
      <c r="AG9" s="17">
        <v>1</v>
      </c>
      <c r="AH9" s="17">
        <v>0</v>
      </c>
      <c r="AI9" s="17">
        <v>0</v>
      </c>
      <c r="AJ9" s="17">
        <v>15</v>
      </c>
      <c r="AK9" s="18">
        <v>18.8</v>
      </c>
      <c r="AL9" s="18">
        <v>5.2</v>
      </c>
      <c r="AM9" s="18">
        <v>174</v>
      </c>
      <c r="AN9" s="18">
        <v>45</v>
      </c>
      <c r="AO9" s="18">
        <v>327</v>
      </c>
      <c r="AP9" s="18">
        <v>13</v>
      </c>
      <c r="AQ9" s="18">
        <v>33</v>
      </c>
      <c r="AR9" s="18"/>
      <c r="AT9" s="18"/>
      <c r="AV9" s="10">
        <v>50</v>
      </c>
      <c r="AW9" s="10">
        <v>36</v>
      </c>
      <c r="AX9" s="17">
        <v>21</v>
      </c>
      <c r="AY9" s="18">
        <v>0.8</v>
      </c>
      <c r="BA9" s="5">
        <v>0.61</v>
      </c>
      <c r="BB9" s="5">
        <v>0.08</v>
      </c>
      <c r="BC9" s="21">
        <v>108</v>
      </c>
      <c r="BD9" s="17">
        <v>117</v>
      </c>
      <c r="BE9" s="21">
        <v>4.8</v>
      </c>
      <c r="BF9" s="17">
        <v>91</v>
      </c>
      <c r="BG9" s="17">
        <v>1101</v>
      </c>
      <c r="BH9" s="17">
        <v>1268</v>
      </c>
      <c r="BI9" s="17">
        <v>2390</v>
      </c>
      <c r="BJ9" s="17">
        <v>358</v>
      </c>
      <c r="BK9" s="18"/>
      <c r="BL9" s="18"/>
      <c r="BM9" s="18">
        <v>7.26</v>
      </c>
      <c r="BN9" s="17">
        <v>20</v>
      </c>
      <c r="BO9" s="17">
        <v>112</v>
      </c>
      <c r="BP9" s="21">
        <v>9</v>
      </c>
      <c r="BR9" s="18"/>
      <c r="BS9" s="10">
        <v>2.23</v>
      </c>
      <c r="BT9" s="18">
        <v>2.2599999999999998</v>
      </c>
      <c r="BU9" s="20">
        <v>14</v>
      </c>
      <c r="BV9" s="22">
        <v>18.648705693704155</v>
      </c>
      <c r="BW9" s="18">
        <f t="shared" si="4"/>
        <v>1</v>
      </c>
      <c r="BX9" s="18">
        <f t="shared" si="5"/>
        <v>0</v>
      </c>
      <c r="BY9" s="18">
        <f t="shared" si="6"/>
        <v>0</v>
      </c>
      <c r="BZ9" s="18">
        <f t="shared" si="7"/>
        <v>1</v>
      </c>
      <c r="CA9" s="22">
        <v>0</v>
      </c>
      <c r="CB9" s="22">
        <v>0</v>
      </c>
      <c r="CC9" s="22">
        <v>1</v>
      </c>
      <c r="CD9" s="22">
        <v>0</v>
      </c>
      <c r="CE9" s="22">
        <v>1</v>
      </c>
      <c r="CF9" s="22">
        <f t="shared" si="8"/>
        <v>2</v>
      </c>
      <c r="CG9" s="22">
        <v>2</v>
      </c>
      <c r="CH9" s="22">
        <v>0</v>
      </c>
      <c r="CI9" s="23">
        <v>0</v>
      </c>
      <c r="CJ9" s="23">
        <v>0</v>
      </c>
      <c r="CK9" s="23">
        <v>0</v>
      </c>
      <c r="CL9" s="23">
        <v>0</v>
      </c>
      <c r="CM9" s="23">
        <v>5</v>
      </c>
      <c r="CN9" s="23" t="s">
        <v>219</v>
      </c>
      <c r="CO9" s="18" t="s">
        <v>224</v>
      </c>
      <c r="CP9" s="18" t="s">
        <v>499</v>
      </c>
      <c r="CQ9" s="18">
        <v>180</v>
      </c>
      <c r="CR9" s="18">
        <v>1500</v>
      </c>
      <c r="CS9" s="18" t="s">
        <v>206</v>
      </c>
      <c r="CT9" s="18" t="s">
        <v>207</v>
      </c>
      <c r="CU9" s="17">
        <f t="shared" ref="CU9:CU14" si="18">BI9</f>
        <v>2390</v>
      </c>
      <c r="CV9" s="18" t="s">
        <v>209</v>
      </c>
      <c r="CW9" s="17">
        <v>2000</v>
      </c>
      <c r="CX9" s="21">
        <v>1.5</v>
      </c>
      <c r="CY9" s="17">
        <v>3000</v>
      </c>
      <c r="DB9" s="17">
        <v>1</v>
      </c>
      <c r="DC9" s="17">
        <v>1</v>
      </c>
      <c r="DD9" s="17">
        <v>3</v>
      </c>
      <c r="DE9" s="17">
        <v>100</v>
      </c>
      <c r="DF9" s="17">
        <v>14</v>
      </c>
      <c r="DG9" s="21">
        <v>8</v>
      </c>
      <c r="DH9" s="18">
        <v>5</v>
      </c>
      <c r="DI9" s="18">
        <v>140</v>
      </c>
      <c r="DJ9" s="18">
        <v>39</v>
      </c>
      <c r="DK9" s="17">
        <v>183</v>
      </c>
      <c r="DL9" s="21">
        <v>18</v>
      </c>
      <c r="DM9" s="21">
        <v>63</v>
      </c>
      <c r="DN9" s="18"/>
      <c r="DO9" s="18">
        <v>5</v>
      </c>
      <c r="DP9" s="21">
        <v>5</v>
      </c>
      <c r="DQ9" s="18">
        <v>0.41</v>
      </c>
      <c r="DR9" s="18">
        <v>128</v>
      </c>
      <c r="DS9" s="10">
        <v>42.5</v>
      </c>
      <c r="DU9" s="10">
        <v>49</v>
      </c>
      <c r="DV9" s="10">
        <v>21</v>
      </c>
      <c r="DW9" s="10">
        <v>1.71</v>
      </c>
      <c r="DY9" s="18">
        <v>137</v>
      </c>
      <c r="DZ9" s="18">
        <v>2.2999999999999998</v>
      </c>
      <c r="EA9" s="18">
        <v>109</v>
      </c>
      <c r="EB9" s="18"/>
      <c r="EC9" s="18"/>
      <c r="ED9" s="17">
        <v>1280</v>
      </c>
      <c r="EE9" s="18">
        <v>7.39</v>
      </c>
      <c r="EF9" s="18">
        <v>25</v>
      </c>
      <c r="EG9" s="18">
        <v>144</v>
      </c>
      <c r="EH9" s="18">
        <v>14.7</v>
      </c>
      <c r="EI9" s="18">
        <f>EG9/EJ9</f>
        <v>480</v>
      </c>
      <c r="EJ9" s="18">
        <v>0.3</v>
      </c>
      <c r="EK9" s="10">
        <v>1.1399999999999999</v>
      </c>
      <c r="EL9" s="5">
        <v>5.65</v>
      </c>
      <c r="EM9" s="18">
        <v>13</v>
      </c>
      <c r="EN9" s="22">
        <v>16</v>
      </c>
      <c r="EO9" s="22">
        <v>23.487244121563204</v>
      </c>
      <c r="EP9" s="18">
        <f t="shared" si="9"/>
        <v>1</v>
      </c>
      <c r="EQ9" s="18">
        <f t="shared" si="10"/>
        <v>0</v>
      </c>
      <c r="ER9" s="18">
        <f t="shared" si="11"/>
        <v>0</v>
      </c>
      <c r="ES9" s="18">
        <f t="shared" si="12"/>
        <v>1</v>
      </c>
      <c r="ET9" s="22">
        <v>0</v>
      </c>
      <c r="EU9" s="22">
        <v>0</v>
      </c>
      <c r="EV9" s="22">
        <v>0</v>
      </c>
      <c r="EW9" s="22">
        <v>0</v>
      </c>
      <c r="EX9" s="22">
        <v>1</v>
      </c>
      <c r="EY9" s="22">
        <f t="shared" si="13"/>
        <v>1</v>
      </c>
      <c r="EZ9" s="22">
        <v>0</v>
      </c>
      <c r="FA9" s="18" t="s">
        <v>246</v>
      </c>
      <c r="FB9" s="18" t="s">
        <v>208</v>
      </c>
      <c r="FC9" s="18">
        <v>7.3</v>
      </c>
      <c r="FD9" s="18">
        <v>117</v>
      </c>
      <c r="FE9" s="18">
        <v>33</v>
      </c>
      <c r="FF9" s="18">
        <v>88</v>
      </c>
      <c r="FG9" s="18">
        <v>17</v>
      </c>
      <c r="FH9" s="18">
        <v>36</v>
      </c>
      <c r="FI9" s="18"/>
      <c r="FJ9" s="18">
        <v>2.5</v>
      </c>
      <c r="FK9" s="18">
        <v>4</v>
      </c>
      <c r="FL9" s="18">
        <v>0.36</v>
      </c>
      <c r="FM9" s="18">
        <v>113</v>
      </c>
      <c r="FN9" s="18">
        <v>137</v>
      </c>
      <c r="FO9" s="18">
        <v>2.2999999999999998</v>
      </c>
      <c r="FP9" s="18">
        <v>102</v>
      </c>
      <c r="FQ9" s="18"/>
      <c r="FR9" s="18"/>
      <c r="FS9" s="18">
        <v>510</v>
      </c>
      <c r="FT9" s="18">
        <v>7.42</v>
      </c>
      <c r="FU9" s="18">
        <v>42</v>
      </c>
      <c r="FV9" s="18">
        <v>140</v>
      </c>
      <c r="FW9" s="18">
        <v>25</v>
      </c>
      <c r="FX9" s="18">
        <v>0.35</v>
      </c>
      <c r="FY9" s="18">
        <v>400</v>
      </c>
      <c r="FZ9" s="18"/>
      <c r="GA9" s="18">
        <v>15</v>
      </c>
      <c r="GB9" s="22">
        <v>0</v>
      </c>
      <c r="GC9" s="22">
        <v>8</v>
      </c>
      <c r="GD9" s="22">
        <v>0</v>
      </c>
      <c r="GE9" s="22">
        <v>8.7145290593121416</v>
      </c>
      <c r="GF9" s="18">
        <f t="shared" si="14"/>
        <v>0.46443514644351463</v>
      </c>
      <c r="GG9" s="17">
        <f t="shared" si="15"/>
        <v>1110</v>
      </c>
      <c r="GH9" s="17">
        <f t="shared" si="16"/>
        <v>1</v>
      </c>
      <c r="GI9" s="17">
        <f t="shared" si="17"/>
        <v>6</v>
      </c>
      <c r="GJ9" s="18">
        <f>ED9-FS9</f>
        <v>770</v>
      </c>
      <c r="GK9" s="24">
        <f>GJ9/ED9</f>
        <v>0.6015625</v>
      </c>
    </row>
    <row r="10" spans="1:193" ht="18" customHeight="1" x14ac:dyDescent="0.45">
      <c r="A10" s="14">
        <v>8</v>
      </c>
      <c r="B10" s="35" t="s">
        <v>37</v>
      </c>
      <c r="C10" s="15" t="s">
        <v>38</v>
      </c>
      <c r="D10" s="16">
        <v>0</v>
      </c>
      <c r="E10" s="17">
        <v>1972</v>
      </c>
      <c r="F10" s="17">
        <f t="shared" si="0"/>
        <v>51</v>
      </c>
      <c r="G10" s="18" t="s">
        <v>200</v>
      </c>
      <c r="H10" s="18" t="s">
        <v>201</v>
      </c>
      <c r="I10" s="17">
        <v>1</v>
      </c>
      <c r="J10" s="18">
        <f t="shared" si="1"/>
        <v>2.64</v>
      </c>
      <c r="K10" s="17">
        <v>55</v>
      </c>
      <c r="L10" s="17">
        <v>163</v>
      </c>
      <c r="M10" s="18">
        <f t="shared" si="2"/>
        <v>20.700816741315069</v>
      </c>
      <c r="N10" s="17">
        <v>0</v>
      </c>
      <c r="O10" s="17">
        <v>1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9">
        <v>44759</v>
      </c>
      <c r="W10" s="17">
        <v>48</v>
      </c>
      <c r="X10" s="20">
        <v>17</v>
      </c>
      <c r="Y10" s="17">
        <v>1</v>
      </c>
      <c r="Z10" s="17">
        <v>30</v>
      </c>
      <c r="AA10" s="17">
        <v>170</v>
      </c>
      <c r="AB10" s="17">
        <v>110</v>
      </c>
      <c r="AC10" s="17">
        <v>80</v>
      </c>
      <c r="AD10" s="18">
        <f t="shared" si="3"/>
        <v>90</v>
      </c>
      <c r="AE10" s="18">
        <v>16</v>
      </c>
      <c r="AF10" s="17">
        <v>37</v>
      </c>
      <c r="AG10" s="17">
        <v>1</v>
      </c>
      <c r="AH10" s="17">
        <v>0</v>
      </c>
      <c r="AI10" s="17">
        <v>0</v>
      </c>
      <c r="AJ10" s="17">
        <v>6</v>
      </c>
      <c r="AK10" s="18">
        <v>4.3</v>
      </c>
      <c r="AL10" s="18">
        <v>4.7</v>
      </c>
      <c r="AM10" s="18">
        <v>154</v>
      </c>
      <c r="AN10" s="18">
        <v>42</v>
      </c>
      <c r="AO10" s="18">
        <v>329</v>
      </c>
      <c r="AP10" s="18">
        <v>11</v>
      </c>
      <c r="AQ10" s="18">
        <v>30</v>
      </c>
      <c r="AR10" s="18">
        <v>2.9</v>
      </c>
      <c r="AT10" s="18"/>
      <c r="AU10" s="10">
        <v>895</v>
      </c>
      <c r="AV10" s="10">
        <v>23</v>
      </c>
      <c r="AW10" s="10">
        <v>4</v>
      </c>
      <c r="AX10" s="17">
        <v>19</v>
      </c>
      <c r="AY10" s="18">
        <v>1.68</v>
      </c>
      <c r="AZ10" s="10">
        <v>28</v>
      </c>
      <c r="BC10" s="21">
        <v>35</v>
      </c>
      <c r="BD10" s="17">
        <v>140</v>
      </c>
      <c r="BE10" s="21">
        <v>4.0999999999999996</v>
      </c>
      <c r="BF10" s="17">
        <v>100</v>
      </c>
      <c r="BH10" s="17">
        <v>690</v>
      </c>
      <c r="BI10" s="17">
        <v>5880</v>
      </c>
      <c r="BJ10" s="17">
        <v>256</v>
      </c>
      <c r="BK10" s="18"/>
      <c r="BL10" s="18">
        <v>10</v>
      </c>
      <c r="BM10" s="18">
        <v>7.54</v>
      </c>
      <c r="BN10" s="17">
        <v>26</v>
      </c>
      <c r="BO10" s="17">
        <v>283</v>
      </c>
      <c r="BP10" s="21">
        <v>22.6</v>
      </c>
      <c r="BQ10" s="21">
        <f>BO10/BR10</f>
        <v>524.07407407407402</v>
      </c>
      <c r="BR10" s="18">
        <v>0.54</v>
      </c>
      <c r="BT10" s="18">
        <v>1.36</v>
      </c>
      <c r="BU10" s="20">
        <v>17</v>
      </c>
      <c r="BV10" s="22">
        <v>26.21158988083651</v>
      </c>
      <c r="BW10" s="18">
        <f t="shared" si="4"/>
        <v>1</v>
      </c>
      <c r="BX10" s="18">
        <f t="shared" si="5"/>
        <v>0</v>
      </c>
      <c r="BY10" s="18">
        <f t="shared" si="6"/>
        <v>0</v>
      </c>
      <c r="BZ10" s="18">
        <f t="shared" si="7"/>
        <v>1</v>
      </c>
      <c r="CA10" s="22">
        <v>0</v>
      </c>
      <c r="CB10" s="22">
        <v>1</v>
      </c>
      <c r="CC10" s="22">
        <v>0</v>
      </c>
      <c r="CD10" s="22">
        <v>0</v>
      </c>
      <c r="CE10" s="22">
        <v>0</v>
      </c>
      <c r="CF10" s="22">
        <f t="shared" si="8"/>
        <v>1</v>
      </c>
      <c r="CG10" s="22">
        <v>2</v>
      </c>
      <c r="CH10" s="22">
        <v>4</v>
      </c>
      <c r="CI10" s="23">
        <v>1</v>
      </c>
      <c r="CJ10" s="23">
        <v>0</v>
      </c>
      <c r="CK10" s="23">
        <v>0</v>
      </c>
      <c r="CL10" s="23">
        <v>0</v>
      </c>
      <c r="CM10" s="23">
        <v>6</v>
      </c>
      <c r="CN10" s="23" t="s">
        <v>203</v>
      </c>
      <c r="CO10" s="18" t="s">
        <v>424</v>
      </c>
      <c r="CP10" s="18" t="s">
        <v>235</v>
      </c>
      <c r="CQ10" s="18">
        <v>180</v>
      </c>
      <c r="CR10" s="18">
        <v>1500</v>
      </c>
      <c r="CS10" s="18" t="s">
        <v>206</v>
      </c>
      <c r="CT10" s="18" t="s">
        <v>207</v>
      </c>
      <c r="CU10" s="17">
        <f t="shared" si="18"/>
        <v>5880</v>
      </c>
      <c r="CV10" s="18" t="s">
        <v>208</v>
      </c>
      <c r="CW10" s="17">
        <v>2500</v>
      </c>
      <c r="CX10" s="21">
        <v>1.5</v>
      </c>
      <c r="CY10" s="17">
        <v>3600</v>
      </c>
      <c r="DB10" s="17">
        <v>1</v>
      </c>
      <c r="DC10" s="17">
        <v>1</v>
      </c>
      <c r="DD10" s="17">
        <v>3</v>
      </c>
      <c r="DE10" s="17">
        <v>160</v>
      </c>
      <c r="DF10" s="17">
        <v>14</v>
      </c>
      <c r="DG10" s="21">
        <v>4.4000000000000004</v>
      </c>
      <c r="DH10" s="18">
        <v>3.43</v>
      </c>
      <c r="DI10" s="18">
        <v>102</v>
      </c>
      <c r="DJ10" s="18">
        <v>29</v>
      </c>
      <c r="DK10" s="17">
        <v>160</v>
      </c>
      <c r="DL10" s="21">
        <v>12</v>
      </c>
      <c r="DM10" s="21">
        <v>74</v>
      </c>
      <c r="DN10" s="18">
        <v>87</v>
      </c>
      <c r="DO10" s="18">
        <v>3.11</v>
      </c>
      <c r="DP10" s="21">
        <v>27</v>
      </c>
      <c r="DQ10" s="18">
        <v>1.45</v>
      </c>
      <c r="DR10" s="18">
        <v>42</v>
      </c>
      <c r="DU10" s="10">
        <v>17</v>
      </c>
      <c r="DV10" s="10">
        <v>1.65</v>
      </c>
      <c r="DY10" s="18">
        <v>145</v>
      </c>
      <c r="DZ10" s="18">
        <v>2.2999999999999998</v>
      </c>
      <c r="EA10" s="18">
        <v>104</v>
      </c>
      <c r="EB10" s="18"/>
      <c r="EC10" s="18"/>
      <c r="ED10" s="17">
        <v>800</v>
      </c>
      <c r="EE10" s="18">
        <v>7.56</v>
      </c>
      <c r="EF10" s="18">
        <v>24</v>
      </c>
      <c r="EG10" s="18">
        <v>95</v>
      </c>
      <c r="EH10" s="18">
        <v>22.4</v>
      </c>
      <c r="EI10" s="18">
        <f>EG10/0.21</f>
        <v>452.38095238095241</v>
      </c>
      <c r="EJ10" s="18">
        <v>0.21</v>
      </c>
      <c r="EK10" s="10">
        <v>1.1599999999999999</v>
      </c>
      <c r="EL10" s="5">
        <v>1.21</v>
      </c>
      <c r="EM10" s="18">
        <v>14</v>
      </c>
      <c r="EN10" s="22">
        <v>13</v>
      </c>
      <c r="EO10" s="22">
        <v>16.534282858797354</v>
      </c>
      <c r="EP10" s="18">
        <f t="shared" si="9"/>
        <v>1</v>
      </c>
      <c r="EQ10" s="18">
        <f t="shared" si="10"/>
        <v>0</v>
      </c>
      <c r="ER10" s="18">
        <f t="shared" si="11"/>
        <v>0</v>
      </c>
      <c r="ES10" s="18">
        <f t="shared" si="12"/>
        <v>1</v>
      </c>
      <c r="ET10" s="22">
        <v>1</v>
      </c>
      <c r="EU10" s="22">
        <v>0</v>
      </c>
      <c r="EV10" s="22">
        <v>0</v>
      </c>
      <c r="EW10" s="22">
        <v>0</v>
      </c>
      <c r="EX10" s="22">
        <v>0</v>
      </c>
      <c r="EY10" s="22">
        <f t="shared" si="13"/>
        <v>1</v>
      </c>
      <c r="EZ10" s="22">
        <v>4</v>
      </c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7">
        <v>800</v>
      </c>
      <c r="FT10" s="18"/>
      <c r="FU10" s="18"/>
      <c r="FV10" s="18"/>
      <c r="FW10" s="18"/>
      <c r="FX10" s="18"/>
      <c r="FY10" s="18"/>
      <c r="FZ10" s="18"/>
      <c r="GA10" s="18"/>
      <c r="GB10" s="22">
        <v>4</v>
      </c>
      <c r="GC10" s="22">
        <v>13</v>
      </c>
      <c r="GD10" s="22">
        <v>0</v>
      </c>
      <c r="GE10" s="18"/>
      <c r="GF10" s="18">
        <f t="shared" si="14"/>
        <v>0.86394557823129248</v>
      </c>
      <c r="GG10" s="17">
        <f t="shared" si="15"/>
        <v>5080</v>
      </c>
      <c r="GH10" s="17">
        <f t="shared" si="16"/>
        <v>0</v>
      </c>
      <c r="GI10" s="17">
        <f t="shared" si="17"/>
        <v>4</v>
      </c>
    </row>
    <row r="11" spans="1:193" ht="18" customHeight="1" x14ac:dyDescent="0.45">
      <c r="A11" s="14">
        <v>9</v>
      </c>
      <c r="B11" s="35" t="s">
        <v>49</v>
      </c>
      <c r="C11" s="15" t="s">
        <v>50</v>
      </c>
      <c r="D11" s="16">
        <v>0</v>
      </c>
      <c r="E11" s="17">
        <v>1983</v>
      </c>
      <c r="F11" s="17">
        <f t="shared" si="0"/>
        <v>40</v>
      </c>
      <c r="G11" s="18" t="s">
        <v>237</v>
      </c>
      <c r="H11" s="18" t="s">
        <v>301</v>
      </c>
      <c r="I11" s="17">
        <v>1</v>
      </c>
      <c r="J11" s="18">
        <f t="shared" si="1"/>
        <v>3.12</v>
      </c>
      <c r="K11" s="17">
        <v>65</v>
      </c>
      <c r="L11" s="17">
        <v>167</v>
      </c>
      <c r="M11" s="18">
        <f t="shared" si="2"/>
        <v>23.306680053067517</v>
      </c>
      <c r="N11" s="17">
        <v>1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9" t="s">
        <v>302</v>
      </c>
      <c r="W11" s="17">
        <v>12</v>
      </c>
      <c r="X11" s="20">
        <v>9</v>
      </c>
      <c r="Y11" s="17">
        <v>1</v>
      </c>
      <c r="Z11" s="17">
        <v>6</v>
      </c>
      <c r="AA11" s="17">
        <v>120</v>
      </c>
      <c r="AB11" s="17">
        <v>140</v>
      </c>
      <c r="AC11" s="17">
        <v>80</v>
      </c>
      <c r="AD11" s="18">
        <f t="shared" si="3"/>
        <v>100</v>
      </c>
      <c r="AE11" s="18">
        <v>20</v>
      </c>
      <c r="AF11" s="17">
        <v>37</v>
      </c>
      <c r="AG11" s="17">
        <v>1</v>
      </c>
      <c r="AH11" s="17">
        <v>1</v>
      </c>
      <c r="AI11" s="17">
        <v>0</v>
      </c>
      <c r="AJ11" s="17">
        <v>15</v>
      </c>
      <c r="AK11" s="18">
        <v>9</v>
      </c>
      <c r="AL11" s="18">
        <v>4.8</v>
      </c>
      <c r="AM11" s="18">
        <v>143</v>
      </c>
      <c r="AN11" s="18">
        <v>43</v>
      </c>
      <c r="AO11" s="18">
        <v>253</v>
      </c>
      <c r="AP11" s="18">
        <v>27</v>
      </c>
      <c r="AQ11" s="18">
        <v>29</v>
      </c>
      <c r="AR11" s="18">
        <v>7.6</v>
      </c>
      <c r="AT11" s="18"/>
      <c r="AV11" s="10">
        <v>19</v>
      </c>
      <c r="AW11" s="10">
        <v>19</v>
      </c>
      <c r="AX11" s="17">
        <v>5</v>
      </c>
      <c r="AY11" s="18">
        <v>0.35</v>
      </c>
      <c r="AZ11" s="10">
        <v>41.1</v>
      </c>
      <c r="BA11" s="5">
        <v>0.42</v>
      </c>
      <c r="BB11" s="5">
        <v>0.1</v>
      </c>
      <c r="BC11" s="21">
        <v>135</v>
      </c>
      <c r="BD11" s="17">
        <v>135</v>
      </c>
      <c r="BE11" s="21">
        <v>2.8</v>
      </c>
      <c r="BF11" s="17">
        <v>107</v>
      </c>
      <c r="BG11" s="17">
        <v>343</v>
      </c>
      <c r="BH11" s="17">
        <v>177</v>
      </c>
      <c r="BI11" s="17">
        <v>1960</v>
      </c>
      <c r="BJ11" s="17">
        <v>145</v>
      </c>
      <c r="BK11" s="18">
        <v>6.1</v>
      </c>
      <c r="BL11" s="18"/>
      <c r="BM11" s="18">
        <v>7.4</v>
      </c>
      <c r="BN11" s="17">
        <v>28</v>
      </c>
      <c r="BO11" s="17">
        <v>109</v>
      </c>
      <c r="BP11" s="21">
        <v>17</v>
      </c>
      <c r="BQ11" s="21">
        <v>400</v>
      </c>
      <c r="BR11" s="18"/>
      <c r="BS11" s="10">
        <v>2.21</v>
      </c>
      <c r="BU11" s="20">
        <v>9</v>
      </c>
      <c r="BV11" s="22">
        <v>9.9481411429015392</v>
      </c>
      <c r="BW11" s="18">
        <f t="shared" si="4"/>
        <v>1</v>
      </c>
      <c r="BX11" s="18">
        <f t="shared" si="5"/>
        <v>0</v>
      </c>
      <c r="BY11" s="18">
        <f t="shared" si="6"/>
        <v>0</v>
      </c>
      <c r="BZ11" s="18">
        <f t="shared" si="7"/>
        <v>1</v>
      </c>
      <c r="CA11" s="22">
        <v>0</v>
      </c>
      <c r="CB11" s="22">
        <v>0</v>
      </c>
      <c r="CC11" s="22">
        <v>0</v>
      </c>
      <c r="CD11" s="22">
        <v>0</v>
      </c>
      <c r="CE11" s="22">
        <v>1</v>
      </c>
      <c r="CF11" s="22">
        <f t="shared" si="8"/>
        <v>1</v>
      </c>
      <c r="CG11" s="22">
        <v>0</v>
      </c>
      <c r="CH11" s="22">
        <v>0</v>
      </c>
      <c r="CI11" s="23">
        <v>1</v>
      </c>
      <c r="CJ11" s="23">
        <v>0</v>
      </c>
      <c r="CK11" s="23">
        <v>0</v>
      </c>
      <c r="CL11" s="23">
        <v>0</v>
      </c>
      <c r="CM11" s="23">
        <v>10</v>
      </c>
      <c r="CN11" s="23" t="s">
        <v>203</v>
      </c>
      <c r="CO11" s="18" t="s">
        <v>303</v>
      </c>
      <c r="CP11" s="18" t="s">
        <v>205</v>
      </c>
      <c r="CQ11" s="18">
        <v>180</v>
      </c>
      <c r="CR11" s="18">
        <v>1500</v>
      </c>
      <c r="CS11" s="18" t="s">
        <v>206</v>
      </c>
      <c r="CT11" s="18" t="s">
        <v>207</v>
      </c>
      <c r="CU11" s="17">
        <f t="shared" si="18"/>
        <v>1960</v>
      </c>
      <c r="CV11" s="18" t="s">
        <v>208</v>
      </c>
      <c r="CW11" s="17">
        <v>2000</v>
      </c>
      <c r="CX11" s="21">
        <v>1.5</v>
      </c>
      <c r="CY11" s="17">
        <v>2400</v>
      </c>
      <c r="DB11" s="17">
        <v>1</v>
      </c>
      <c r="DC11" s="17">
        <v>1</v>
      </c>
      <c r="DD11" s="17">
        <v>3</v>
      </c>
      <c r="DE11" s="17">
        <v>100</v>
      </c>
      <c r="DF11" s="17">
        <v>16</v>
      </c>
      <c r="DG11" s="21">
        <v>7.4</v>
      </c>
      <c r="DH11" s="18">
        <v>4.0999999999999996</v>
      </c>
      <c r="DI11" s="18">
        <v>122</v>
      </c>
      <c r="DJ11" s="18">
        <v>37.200000000000003</v>
      </c>
      <c r="DK11" s="17">
        <v>223</v>
      </c>
      <c r="DL11" s="21">
        <v>10.7</v>
      </c>
      <c r="DM11" s="21">
        <v>7</v>
      </c>
      <c r="DN11" s="18"/>
      <c r="DO11" s="18">
        <v>5.6</v>
      </c>
      <c r="DP11" s="21">
        <v>5</v>
      </c>
      <c r="DQ11" s="18">
        <v>0.5</v>
      </c>
      <c r="DR11" s="18">
        <v>122</v>
      </c>
      <c r="DS11" s="10">
        <v>33.9</v>
      </c>
      <c r="DT11" s="10">
        <v>178.67</v>
      </c>
      <c r="DU11" s="10">
        <v>14</v>
      </c>
      <c r="DV11" s="10">
        <v>9</v>
      </c>
      <c r="DW11" s="10">
        <v>0.61</v>
      </c>
      <c r="DX11" s="10">
        <v>0.1</v>
      </c>
      <c r="DY11" s="18">
        <v>140</v>
      </c>
      <c r="DZ11" s="18">
        <v>3.2</v>
      </c>
      <c r="EA11" s="18">
        <v>107</v>
      </c>
      <c r="EB11" s="18"/>
      <c r="EC11" s="18"/>
      <c r="ED11" s="17">
        <v>639</v>
      </c>
      <c r="EE11" s="18">
        <v>7.37</v>
      </c>
      <c r="EF11" s="18">
        <v>41</v>
      </c>
      <c r="EG11" s="18">
        <v>85</v>
      </c>
      <c r="EH11" s="18">
        <v>24</v>
      </c>
      <c r="EI11" s="18">
        <f>EG11/0.3</f>
        <v>283.33333333333337</v>
      </c>
      <c r="EJ11" s="18">
        <f>EG11/EI11</f>
        <v>0.29999999999999993</v>
      </c>
      <c r="EK11" s="10">
        <v>2.04</v>
      </c>
      <c r="EL11" s="18"/>
      <c r="EM11" s="18">
        <v>14</v>
      </c>
      <c r="EN11" s="22">
        <v>6</v>
      </c>
      <c r="EO11" s="22">
        <v>6.6545891108010107</v>
      </c>
      <c r="EP11" s="18">
        <f t="shared" si="9"/>
        <v>1</v>
      </c>
      <c r="EQ11" s="18">
        <f t="shared" si="10"/>
        <v>0</v>
      </c>
      <c r="ER11" s="18">
        <f t="shared" si="11"/>
        <v>0</v>
      </c>
      <c r="ES11" s="18">
        <f t="shared" si="12"/>
        <v>1</v>
      </c>
      <c r="ET11" s="22">
        <v>0</v>
      </c>
      <c r="EU11" s="22">
        <v>0</v>
      </c>
      <c r="EV11" s="22">
        <v>0</v>
      </c>
      <c r="EW11" s="22">
        <v>0</v>
      </c>
      <c r="EX11" s="22">
        <v>1</v>
      </c>
      <c r="EY11" s="22">
        <f t="shared" si="13"/>
        <v>1</v>
      </c>
      <c r="EZ11" s="22">
        <v>0</v>
      </c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7">
        <v>639</v>
      </c>
      <c r="FT11" s="18"/>
      <c r="FU11" s="18"/>
      <c r="FV11" s="18"/>
      <c r="FW11" s="18"/>
      <c r="FX11" s="18"/>
      <c r="FY11" s="18"/>
      <c r="FZ11" s="18"/>
      <c r="GA11" s="18"/>
      <c r="GB11" s="22">
        <v>0</v>
      </c>
      <c r="GC11" s="22">
        <v>6</v>
      </c>
      <c r="GD11" s="22">
        <v>0</v>
      </c>
      <c r="GE11" s="18"/>
      <c r="GF11" s="18">
        <f t="shared" si="14"/>
        <v>0.67397959183673473</v>
      </c>
      <c r="GG11" s="17">
        <f t="shared" si="15"/>
        <v>1321</v>
      </c>
      <c r="GH11" s="17">
        <f t="shared" si="16"/>
        <v>0</v>
      </c>
      <c r="GI11" s="17">
        <f t="shared" si="17"/>
        <v>3</v>
      </c>
    </row>
    <row r="12" spans="1:193" ht="18" customHeight="1" x14ac:dyDescent="0.45">
      <c r="A12" s="14">
        <v>10</v>
      </c>
      <c r="B12" s="35" t="s">
        <v>333</v>
      </c>
      <c r="C12" s="15" t="s">
        <v>334</v>
      </c>
      <c r="D12" s="16">
        <v>0</v>
      </c>
      <c r="E12" s="17">
        <v>1992</v>
      </c>
      <c r="F12" s="17">
        <f t="shared" si="0"/>
        <v>31</v>
      </c>
      <c r="G12" s="18" t="s">
        <v>237</v>
      </c>
      <c r="H12" s="18" t="s">
        <v>234</v>
      </c>
      <c r="I12" s="17">
        <v>0</v>
      </c>
      <c r="J12" s="18">
        <f t="shared" si="1"/>
        <v>4.4640000000000004</v>
      </c>
      <c r="K12" s="17">
        <v>93</v>
      </c>
      <c r="L12" s="17">
        <v>165</v>
      </c>
      <c r="M12" s="18">
        <f t="shared" si="2"/>
        <v>34.159779614325075</v>
      </c>
      <c r="N12" s="17">
        <v>0</v>
      </c>
      <c r="O12" s="17">
        <v>1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9" t="s">
        <v>414</v>
      </c>
      <c r="W12" s="17">
        <v>24</v>
      </c>
      <c r="X12" s="20">
        <v>10</v>
      </c>
      <c r="Y12" s="17">
        <v>1</v>
      </c>
      <c r="Z12" s="17">
        <v>8</v>
      </c>
      <c r="AA12" s="17">
        <v>122</v>
      </c>
      <c r="AB12" s="17">
        <v>140</v>
      </c>
      <c r="AC12" s="17">
        <v>80</v>
      </c>
      <c r="AD12" s="18">
        <f t="shared" si="3"/>
        <v>100</v>
      </c>
      <c r="AE12" s="18">
        <v>26</v>
      </c>
      <c r="AF12" s="17">
        <v>37</v>
      </c>
      <c r="AG12" s="17">
        <v>1</v>
      </c>
      <c r="AH12" s="17">
        <v>0</v>
      </c>
      <c r="AI12" s="17">
        <v>0</v>
      </c>
      <c r="AJ12" s="17">
        <v>13</v>
      </c>
      <c r="AK12" s="18">
        <v>10</v>
      </c>
      <c r="AL12" s="18">
        <v>5.3</v>
      </c>
      <c r="AM12" s="18">
        <v>185</v>
      </c>
      <c r="AN12" s="18">
        <v>46</v>
      </c>
      <c r="AO12" s="18">
        <v>359</v>
      </c>
      <c r="AP12" s="18">
        <v>15</v>
      </c>
      <c r="AQ12" s="18">
        <v>31</v>
      </c>
      <c r="AR12" s="18">
        <v>8.6</v>
      </c>
      <c r="AS12" s="21">
        <v>79</v>
      </c>
      <c r="AT12" s="18"/>
      <c r="AV12" s="10">
        <v>34</v>
      </c>
      <c r="AW12" s="10">
        <v>15</v>
      </c>
      <c r="AX12" s="17">
        <v>12</v>
      </c>
      <c r="AY12" s="18">
        <v>0.65</v>
      </c>
      <c r="BC12" s="21">
        <v>113</v>
      </c>
      <c r="BD12" s="17">
        <v>135</v>
      </c>
      <c r="BE12" s="21">
        <v>4</v>
      </c>
      <c r="BF12" s="17">
        <v>106</v>
      </c>
      <c r="BH12" s="17">
        <v>508</v>
      </c>
      <c r="BI12" s="17">
        <v>2230</v>
      </c>
      <c r="BJ12" s="17">
        <v>254</v>
      </c>
      <c r="BK12" s="18"/>
      <c r="BL12" s="18"/>
      <c r="BM12" s="18">
        <v>7.34</v>
      </c>
      <c r="BN12" s="17">
        <v>23</v>
      </c>
      <c r="BO12" s="17">
        <v>164</v>
      </c>
      <c r="BP12" s="21">
        <v>12.6</v>
      </c>
      <c r="BQ12" s="21">
        <f>BO12/BR12</f>
        <v>309.43396226415092</v>
      </c>
      <c r="BR12" s="18">
        <v>0.53</v>
      </c>
      <c r="BU12" s="20">
        <v>10</v>
      </c>
      <c r="BV12" s="22">
        <v>11.334697884966939</v>
      </c>
      <c r="BW12" s="18">
        <f t="shared" si="4"/>
        <v>1</v>
      </c>
      <c r="BX12" s="18">
        <f t="shared" si="5"/>
        <v>1</v>
      </c>
      <c r="BY12" s="18">
        <f t="shared" si="6"/>
        <v>0</v>
      </c>
      <c r="BZ12" s="18">
        <f t="shared" si="7"/>
        <v>2</v>
      </c>
      <c r="CA12" s="22">
        <v>0</v>
      </c>
      <c r="CB12" s="22">
        <v>0</v>
      </c>
      <c r="CC12" s="22">
        <v>1</v>
      </c>
      <c r="CD12" s="22">
        <v>0</v>
      </c>
      <c r="CE12" s="22">
        <v>0</v>
      </c>
      <c r="CF12" s="22">
        <f t="shared" si="8"/>
        <v>1</v>
      </c>
      <c r="CG12" s="22">
        <v>1</v>
      </c>
      <c r="CH12" s="22">
        <v>2</v>
      </c>
      <c r="CI12" s="23">
        <v>0</v>
      </c>
      <c r="CJ12" s="23">
        <v>1</v>
      </c>
      <c r="CK12" s="23">
        <v>0</v>
      </c>
      <c r="CL12" s="23">
        <v>0</v>
      </c>
      <c r="CM12" s="23">
        <v>4</v>
      </c>
      <c r="CN12" s="23" t="s">
        <v>219</v>
      </c>
      <c r="CO12" s="18" t="s">
        <v>415</v>
      </c>
      <c r="CP12" s="18" t="s">
        <v>235</v>
      </c>
      <c r="CQ12" s="18">
        <v>150</v>
      </c>
      <c r="CR12" s="18">
        <v>1200</v>
      </c>
      <c r="CS12" s="18" t="s">
        <v>236</v>
      </c>
      <c r="CT12" s="18" t="s">
        <v>207</v>
      </c>
      <c r="CU12" s="17">
        <f t="shared" si="18"/>
        <v>2230</v>
      </c>
      <c r="CV12" s="18" t="s">
        <v>209</v>
      </c>
      <c r="CW12" s="17">
        <v>3200</v>
      </c>
      <c r="CX12" s="21">
        <v>1.5</v>
      </c>
      <c r="CY12" s="17">
        <v>5000</v>
      </c>
      <c r="DB12" s="17">
        <v>1</v>
      </c>
      <c r="DC12" s="17">
        <v>0</v>
      </c>
      <c r="DD12" s="17">
        <v>3</v>
      </c>
      <c r="DE12" s="17">
        <v>112</v>
      </c>
      <c r="DF12" s="17">
        <v>23</v>
      </c>
      <c r="DG12" s="21">
        <v>6.9</v>
      </c>
      <c r="DH12" s="18">
        <v>4.2</v>
      </c>
      <c r="DI12" s="18">
        <v>117</v>
      </c>
      <c r="DJ12" s="18">
        <v>35</v>
      </c>
      <c r="DK12" s="17">
        <v>165</v>
      </c>
      <c r="DL12" s="21">
        <v>28</v>
      </c>
      <c r="DM12" s="21">
        <v>119</v>
      </c>
      <c r="DN12" s="18"/>
      <c r="DO12" s="18">
        <v>1.3</v>
      </c>
      <c r="DP12" s="21">
        <v>8</v>
      </c>
      <c r="DQ12" s="18">
        <v>0.81</v>
      </c>
      <c r="DR12" s="18">
        <v>120</v>
      </c>
      <c r="DU12" s="10">
        <v>21</v>
      </c>
      <c r="DV12" s="10">
        <v>14</v>
      </c>
      <c r="DY12" s="18">
        <v>138</v>
      </c>
      <c r="DZ12" s="18">
        <v>3.4</v>
      </c>
      <c r="EA12" s="18">
        <v>104</v>
      </c>
      <c r="EB12" s="18"/>
      <c r="EC12" s="18"/>
      <c r="ED12" s="17">
        <v>519</v>
      </c>
      <c r="EE12" s="18">
        <v>7.43</v>
      </c>
      <c r="EF12" s="18">
        <v>31</v>
      </c>
      <c r="EG12" s="18">
        <v>87</v>
      </c>
      <c r="EH12" s="18">
        <v>22</v>
      </c>
      <c r="EI12" s="18">
        <f>EG12/0.21</f>
        <v>414.28571428571428</v>
      </c>
      <c r="EJ12" s="18">
        <f>EG12/EI12</f>
        <v>0.21</v>
      </c>
      <c r="EK12" s="10" t="s">
        <v>335</v>
      </c>
      <c r="EL12" s="18"/>
      <c r="EM12" s="18">
        <v>14</v>
      </c>
      <c r="EN12" s="22">
        <v>5</v>
      </c>
      <c r="EO12" s="22">
        <v>5.8030727493148637</v>
      </c>
      <c r="EP12" s="18">
        <f t="shared" si="9"/>
        <v>1</v>
      </c>
      <c r="EQ12" s="18">
        <f t="shared" si="10"/>
        <v>1</v>
      </c>
      <c r="ER12" s="18">
        <f t="shared" si="11"/>
        <v>0</v>
      </c>
      <c r="ES12" s="18">
        <f t="shared" si="12"/>
        <v>2</v>
      </c>
      <c r="ET12" s="22">
        <v>0</v>
      </c>
      <c r="EU12" s="22">
        <v>0</v>
      </c>
      <c r="EV12" s="22">
        <v>0</v>
      </c>
      <c r="EW12" s="22">
        <v>0</v>
      </c>
      <c r="EX12" s="22">
        <v>0</v>
      </c>
      <c r="EY12" s="22">
        <f t="shared" si="13"/>
        <v>0</v>
      </c>
      <c r="EZ12" s="22">
        <v>0</v>
      </c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7">
        <v>519</v>
      </c>
      <c r="FT12" s="18"/>
      <c r="FU12" s="18"/>
      <c r="FV12" s="18"/>
      <c r="FW12" s="18"/>
      <c r="FX12" s="18"/>
      <c r="FY12" s="18"/>
      <c r="FZ12" s="18"/>
      <c r="GA12" s="18"/>
      <c r="GB12" s="22">
        <v>0</v>
      </c>
      <c r="GC12" s="22">
        <v>5</v>
      </c>
      <c r="GD12" s="22">
        <v>0</v>
      </c>
      <c r="GE12" s="18"/>
      <c r="GF12" s="18">
        <f t="shared" si="14"/>
        <v>0.76726457399103143</v>
      </c>
      <c r="GG12" s="17">
        <f>BI12-FS12</f>
        <v>1711</v>
      </c>
      <c r="GH12" s="17">
        <f t="shared" si="16"/>
        <v>1</v>
      </c>
      <c r="GI12" s="17">
        <f t="shared" si="17"/>
        <v>5</v>
      </c>
    </row>
    <row r="13" spans="1:193" ht="18" customHeight="1" x14ac:dyDescent="0.45">
      <c r="A13" s="14">
        <v>11</v>
      </c>
      <c r="B13" s="35" t="s">
        <v>39</v>
      </c>
      <c r="C13" s="15" t="s">
        <v>40</v>
      </c>
      <c r="D13" s="16">
        <v>0</v>
      </c>
      <c r="E13" s="17">
        <v>1989</v>
      </c>
      <c r="F13" s="17">
        <f t="shared" si="0"/>
        <v>34</v>
      </c>
      <c r="G13" s="18" t="s">
        <v>200</v>
      </c>
      <c r="H13" s="18" t="s">
        <v>234</v>
      </c>
      <c r="I13" s="17">
        <v>0</v>
      </c>
      <c r="J13" s="18">
        <f t="shared" si="1"/>
        <v>3.0720000000000001</v>
      </c>
      <c r="K13" s="17">
        <v>64</v>
      </c>
      <c r="L13" s="17">
        <v>165</v>
      </c>
      <c r="M13" s="18">
        <f t="shared" si="2"/>
        <v>23.507805325987146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1</v>
      </c>
      <c r="U13" s="17">
        <v>1</v>
      </c>
      <c r="V13" s="19">
        <v>43624</v>
      </c>
      <c r="W13" s="17">
        <v>24</v>
      </c>
      <c r="X13" s="20">
        <v>23</v>
      </c>
      <c r="Y13" s="17">
        <v>2</v>
      </c>
      <c r="Z13" s="17">
        <v>5</v>
      </c>
      <c r="AA13" s="17">
        <v>80</v>
      </c>
      <c r="AB13" s="17">
        <v>110</v>
      </c>
      <c r="AC13" s="17">
        <v>70</v>
      </c>
      <c r="AD13" s="18">
        <f t="shared" si="3"/>
        <v>83.333333333333329</v>
      </c>
      <c r="AE13" s="18">
        <v>20</v>
      </c>
      <c r="AF13" s="17">
        <v>37</v>
      </c>
      <c r="AG13" s="17">
        <v>1</v>
      </c>
      <c r="AH13" s="17">
        <v>1</v>
      </c>
      <c r="AI13" s="17">
        <v>0</v>
      </c>
      <c r="AJ13" s="17">
        <v>7</v>
      </c>
      <c r="AK13" s="18">
        <v>6.5</v>
      </c>
      <c r="AL13" s="18">
        <v>6</v>
      </c>
      <c r="AM13" s="18">
        <v>202</v>
      </c>
      <c r="AN13" s="18">
        <v>56</v>
      </c>
      <c r="AO13" s="18">
        <v>235</v>
      </c>
      <c r="AP13" s="18">
        <v>17</v>
      </c>
      <c r="AQ13" s="18">
        <v>32</v>
      </c>
      <c r="AR13" s="18"/>
      <c r="AT13" s="18"/>
      <c r="AV13" s="10">
        <v>48</v>
      </c>
      <c r="AW13" s="10">
        <v>44</v>
      </c>
      <c r="AX13" s="17">
        <v>22</v>
      </c>
      <c r="AY13" s="18">
        <v>2</v>
      </c>
      <c r="BA13" s="5">
        <v>0.14000000000000001</v>
      </c>
      <c r="BB13" s="5">
        <v>0.51500000000000001</v>
      </c>
      <c r="BC13" s="21">
        <v>43</v>
      </c>
      <c r="BD13" s="17">
        <v>133</v>
      </c>
      <c r="BE13" s="21">
        <v>5.5</v>
      </c>
      <c r="BF13" s="17">
        <v>98</v>
      </c>
      <c r="BG13" s="17">
        <v>693</v>
      </c>
      <c r="BH13" s="17">
        <v>2777</v>
      </c>
      <c r="BI13" s="17">
        <v>6000</v>
      </c>
      <c r="BJ13" s="17">
        <v>631</v>
      </c>
      <c r="BK13" s="18"/>
      <c r="BL13" s="18"/>
      <c r="BM13" s="18">
        <v>7.4</v>
      </c>
      <c r="BN13" s="17">
        <v>23</v>
      </c>
      <c r="BO13" s="17">
        <v>84</v>
      </c>
      <c r="BP13" s="21">
        <v>13.8</v>
      </c>
      <c r="BQ13" s="21">
        <f>BO13/BR13</f>
        <v>164.70588235294116</v>
      </c>
      <c r="BR13" s="18">
        <v>0.51</v>
      </c>
      <c r="BS13" s="10">
        <v>1.74</v>
      </c>
      <c r="BU13" s="20">
        <v>23</v>
      </c>
      <c r="BV13" s="22">
        <v>46.033353214124759</v>
      </c>
      <c r="BW13" s="18">
        <f t="shared" si="4"/>
        <v>0</v>
      </c>
      <c r="BX13" s="18">
        <f t="shared" si="5"/>
        <v>0</v>
      </c>
      <c r="BY13" s="18">
        <f t="shared" si="6"/>
        <v>0</v>
      </c>
      <c r="BZ13" s="18">
        <f t="shared" si="7"/>
        <v>0</v>
      </c>
      <c r="CA13" s="22">
        <v>0</v>
      </c>
      <c r="CB13" s="22">
        <v>1</v>
      </c>
      <c r="CC13" s="22">
        <v>0</v>
      </c>
      <c r="CD13" s="22">
        <v>0</v>
      </c>
      <c r="CE13" s="22">
        <v>0</v>
      </c>
      <c r="CF13" s="22">
        <f t="shared" si="8"/>
        <v>1</v>
      </c>
      <c r="CG13" s="22">
        <v>1</v>
      </c>
      <c r="CH13" s="22">
        <v>8</v>
      </c>
      <c r="CI13" s="23">
        <v>0</v>
      </c>
      <c r="CJ13" s="23">
        <v>1</v>
      </c>
      <c r="CK13" s="23">
        <v>0</v>
      </c>
      <c r="CL13" s="23">
        <v>0</v>
      </c>
      <c r="CM13" s="23">
        <v>4</v>
      </c>
      <c r="CN13" s="23" t="s">
        <v>203</v>
      </c>
      <c r="CO13" s="18" t="s">
        <v>256</v>
      </c>
      <c r="CP13" s="18" t="s">
        <v>205</v>
      </c>
      <c r="CQ13" s="18">
        <v>150</v>
      </c>
      <c r="CR13" s="18">
        <v>1800</v>
      </c>
      <c r="CS13" s="18" t="s">
        <v>206</v>
      </c>
      <c r="CT13" s="18" t="s">
        <v>207</v>
      </c>
      <c r="CU13" s="17">
        <f t="shared" si="18"/>
        <v>6000</v>
      </c>
      <c r="CV13" s="18" t="s">
        <v>208</v>
      </c>
      <c r="CW13" s="17">
        <v>2000</v>
      </c>
      <c r="CX13" s="21">
        <v>1</v>
      </c>
      <c r="CY13" s="17">
        <v>2000</v>
      </c>
      <c r="CZ13" s="17">
        <v>2000</v>
      </c>
      <c r="DA13" s="17">
        <v>1000</v>
      </c>
      <c r="DB13" s="17">
        <v>1</v>
      </c>
      <c r="DC13" s="17">
        <v>2</v>
      </c>
      <c r="DD13" s="17">
        <v>3</v>
      </c>
      <c r="DE13" s="17">
        <v>60</v>
      </c>
      <c r="DF13" s="17">
        <v>16</v>
      </c>
      <c r="DG13" s="21">
        <v>10</v>
      </c>
      <c r="DH13" s="18">
        <v>3.9</v>
      </c>
      <c r="DI13" s="18">
        <v>123</v>
      </c>
      <c r="DJ13" s="18">
        <v>36</v>
      </c>
      <c r="DK13" s="17">
        <v>61</v>
      </c>
      <c r="DL13" s="21">
        <v>15</v>
      </c>
      <c r="DM13" s="21">
        <v>57</v>
      </c>
      <c r="DN13" s="18"/>
      <c r="DO13" s="18">
        <v>3.8</v>
      </c>
      <c r="DP13" s="21">
        <v>58</v>
      </c>
      <c r="DQ13" s="18">
        <v>4.2</v>
      </c>
      <c r="DR13" s="18">
        <v>17</v>
      </c>
      <c r="DS13" s="10">
        <v>30</v>
      </c>
      <c r="DY13" s="18">
        <v>138</v>
      </c>
      <c r="DZ13" s="18">
        <v>4.3</v>
      </c>
      <c r="EA13" s="18">
        <v>102</v>
      </c>
      <c r="EB13" s="18"/>
      <c r="EC13" s="18"/>
      <c r="ED13" s="17">
        <v>1007</v>
      </c>
      <c r="EE13" s="18">
        <v>7.19</v>
      </c>
      <c r="EF13" s="18">
        <v>31</v>
      </c>
      <c r="EG13" s="18">
        <v>162</v>
      </c>
      <c r="EH13" s="18">
        <v>12.3</v>
      </c>
      <c r="EI13" s="18">
        <f>EG13/EJ13</f>
        <v>540</v>
      </c>
      <c r="EJ13" s="18">
        <v>0.3</v>
      </c>
      <c r="EK13" s="10">
        <v>1.3</v>
      </c>
      <c r="EL13" s="18"/>
      <c r="EM13" s="18">
        <v>13</v>
      </c>
      <c r="EN13" s="22">
        <v>17</v>
      </c>
      <c r="EO13" s="22">
        <v>26.21158988083651</v>
      </c>
      <c r="EP13" s="18">
        <f t="shared" si="9"/>
        <v>0</v>
      </c>
      <c r="EQ13" s="18">
        <f t="shared" si="10"/>
        <v>0</v>
      </c>
      <c r="ER13" s="18">
        <f t="shared" si="11"/>
        <v>1</v>
      </c>
      <c r="ES13" s="18">
        <f t="shared" si="12"/>
        <v>1</v>
      </c>
      <c r="ET13" s="22">
        <v>1</v>
      </c>
      <c r="EU13" s="22">
        <v>0</v>
      </c>
      <c r="EV13" s="22">
        <v>1</v>
      </c>
      <c r="EW13" s="22">
        <v>0</v>
      </c>
      <c r="EX13" s="22">
        <v>0</v>
      </c>
      <c r="EY13" s="22">
        <f t="shared" si="13"/>
        <v>2</v>
      </c>
      <c r="EZ13" s="22">
        <v>7</v>
      </c>
      <c r="FA13" s="18" t="s">
        <v>257</v>
      </c>
      <c r="FB13" s="18" t="s">
        <v>208</v>
      </c>
      <c r="FC13" s="18">
        <v>10</v>
      </c>
      <c r="FD13" s="18">
        <v>118</v>
      </c>
      <c r="FE13" s="18">
        <v>36</v>
      </c>
      <c r="FF13" s="18">
        <v>65</v>
      </c>
      <c r="FG13" s="18">
        <v>13</v>
      </c>
      <c r="FH13" s="18">
        <v>48</v>
      </c>
      <c r="FI13" s="18">
        <v>76</v>
      </c>
      <c r="FJ13" s="18">
        <v>4</v>
      </c>
      <c r="FK13" s="18">
        <v>37</v>
      </c>
      <c r="FL13" s="18">
        <v>3.6</v>
      </c>
      <c r="FM13" s="18">
        <v>42</v>
      </c>
      <c r="FN13" s="18">
        <v>149</v>
      </c>
      <c r="FO13" s="18">
        <v>2.8</v>
      </c>
      <c r="FP13" s="18">
        <v>104</v>
      </c>
      <c r="FQ13" s="18">
        <v>190</v>
      </c>
      <c r="FR13" s="18">
        <v>320</v>
      </c>
      <c r="FS13" s="18">
        <v>322</v>
      </c>
      <c r="FT13" s="18">
        <v>7.58</v>
      </c>
      <c r="FU13" s="18">
        <v>20</v>
      </c>
      <c r="FV13" s="18">
        <v>287</v>
      </c>
      <c r="FW13" s="18">
        <v>20</v>
      </c>
      <c r="FX13" s="18">
        <v>1</v>
      </c>
      <c r="FY13" s="18">
        <v>287</v>
      </c>
      <c r="FZ13" s="18">
        <v>2.1</v>
      </c>
      <c r="GA13" s="18">
        <v>13</v>
      </c>
      <c r="GB13" s="22">
        <v>3</v>
      </c>
      <c r="GC13" s="22">
        <v>18</v>
      </c>
      <c r="GD13" s="22">
        <v>0</v>
      </c>
      <c r="GE13" s="22">
        <v>29.131623542908642</v>
      </c>
      <c r="GF13" s="18">
        <f t="shared" si="14"/>
        <v>0.83216666666666672</v>
      </c>
      <c r="GG13" s="17">
        <f>BI13-ED13</f>
        <v>4993</v>
      </c>
      <c r="GH13" s="17">
        <f t="shared" si="16"/>
        <v>-1</v>
      </c>
      <c r="GI13" s="17">
        <f t="shared" si="17"/>
        <v>5</v>
      </c>
      <c r="GJ13" s="18">
        <f>ED13-FS13</f>
        <v>685</v>
      </c>
      <c r="GK13" s="24">
        <f>GJ13/ED13</f>
        <v>0.68023833167825221</v>
      </c>
    </row>
    <row r="14" spans="1:193" ht="18" customHeight="1" x14ac:dyDescent="0.45">
      <c r="A14" s="14">
        <v>12</v>
      </c>
      <c r="B14" s="35" t="s">
        <v>296</v>
      </c>
      <c r="C14" s="15" t="s">
        <v>297</v>
      </c>
      <c r="D14" s="16">
        <v>0</v>
      </c>
      <c r="E14" s="17">
        <v>1977</v>
      </c>
      <c r="F14" s="17">
        <f t="shared" si="0"/>
        <v>46</v>
      </c>
      <c r="G14" s="18" t="s">
        <v>200</v>
      </c>
      <c r="H14" s="18" t="s">
        <v>212</v>
      </c>
      <c r="I14" s="17">
        <v>0</v>
      </c>
      <c r="J14" s="18">
        <f t="shared" si="1"/>
        <v>2.64</v>
      </c>
      <c r="K14" s="17">
        <v>55</v>
      </c>
      <c r="L14" s="17">
        <v>167</v>
      </c>
      <c r="M14" s="18">
        <f t="shared" si="2"/>
        <v>19.721036967980208</v>
      </c>
      <c r="N14" s="17">
        <v>0</v>
      </c>
      <c r="O14" s="17">
        <v>0</v>
      </c>
      <c r="P14" s="17">
        <v>0</v>
      </c>
      <c r="Q14" s="17">
        <v>0</v>
      </c>
      <c r="R14" s="17">
        <v>1</v>
      </c>
      <c r="S14" s="17">
        <v>0</v>
      </c>
      <c r="T14" s="17">
        <v>0</v>
      </c>
      <c r="U14" s="17">
        <v>0</v>
      </c>
      <c r="V14" s="19">
        <v>44792</v>
      </c>
      <c r="W14" s="17">
        <v>72</v>
      </c>
      <c r="X14" s="20">
        <v>22</v>
      </c>
      <c r="Y14" s="17">
        <v>1</v>
      </c>
      <c r="Z14" s="17">
        <v>7</v>
      </c>
      <c r="AA14" s="17">
        <v>120</v>
      </c>
      <c r="AB14" s="17">
        <v>140</v>
      </c>
      <c r="AC14" s="17">
        <v>70</v>
      </c>
      <c r="AD14" s="18">
        <f t="shared" si="3"/>
        <v>93.333333333333329</v>
      </c>
      <c r="AE14" s="18">
        <v>24</v>
      </c>
      <c r="AF14" s="17">
        <v>37</v>
      </c>
      <c r="AG14" s="17">
        <v>1</v>
      </c>
      <c r="AH14" s="17">
        <v>1</v>
      </c>
      <c r="AI14" s="17">
        <v>0</v>
      </c>
      <c r="AJ14" s="17">
        <v>5</v>
      </c>
      <c r="AK14" s="18">
        <v>9.0399999999999991</v>
      </c>
      <c r="AL14" s="18">
        <v>4.55</v>
      </c>
      <c r="AM14" s="18">
        <v>125</v>
      </c>
      <c r="AN14" s="18">
        <v>38</v>
      </c>
      <c r="AO14" s="18">
        <v>153</v>
      </c>
      <c r="AP14" s="18">
        <v>16.5</v>
      </c>
      <c r="AQ14" s="18">
        <v>35.1</v>
      </c>
      <c r="AR14" s="18"/>
      <c r="AS14" s="21">
        <v>340.2</v>
      </c>
      <c r="AT14" s="18"/>
      <c r="AV14" s="10">
        <v>21</v>
      </c>
      <c r="AW14" s="10">
        <v>11</v>
      </c>
      <c r="AX14" s="17">
        <v>29</v>
      </c>
      <c r="AY14" s="18">
        <v>1.38</v>
      </c>
      <c r="BA14" s="5">
        <v>0.84</v>
      </c>
      <c r="BB14" s="5">
        <v>0.16</v>
      </c>
      <c r="BC14" s="21">
        <v>61.31</v>
      </c>
      <c r="BD14" s="17">
        <v>143</v>
      </c>
      <c r="BE14" s="21">
        <v>4</v>
      </c>
      <c r="BF14" s="17">
        <v>109</v>
      </c>
      <c r="BG14" s="17">
        <v>85</v>
      </c>
      <c r="BH14" s="17">
        <v>262.39999999999998</v>
      </c>
      <c r="BI14" s="17">
        <v>3130</v>
      </c>
      <c r="BJ14" s="17">
        <v>88</v>
      </c>
      <c r="BK14" s="18"/>
      <c r="BL14" s="18">
        <v>100</v>
      </c>
      <c r="BM14" s="18">
        <v>7.3</v>
      </c>
      <c r="BN14" s="17">
        <v>15.8</v>
      </c>
      <c r="BO14" s="17">
        <v>154.5</v>
      </c>
      <c r="BP14" s="21">
        <v>7.6</v>
      </c>
      <c r="BQ14" s="21">
        <f>BO14/BR14</f>
        <v>286.11111111111109</v>
      </c>
      <c r="BR14" s="18">
        <v>0.54</v>
      </c>
      <c r="BS14" s="10">
        <v>2.58</v>
      </c>
      <c r="BT14" s="18">
        <v>1.08</v>
      </c>
      <c r="BU14" s="20">
        <v>22</v>
      </c>
      <c r="BV14" s="22">
        <v>42.43356489574505</v>
      </c>
      <c r="BW14" s="18">
        <f t="shared" si="4"/>
        <v>1</v>
      </c>
      <c r="BX14" s="18">
        <f t="shared" si="5"/>
        <v>1</v>
      </c>
      <c r="BY14" s="18">
        <f t="shared" si="6"/>
        <v>1</v>
      </c>
      <c r="BZ14" s="18">
        <f t="shared" si="7"/>
        <v>3</v>
      </c>
      <c r="CA14" s="22">
        <v>1</v>
      </c>
      <c r="CB14" s="22">
        <v>1</v>
      </c>
      <c r="CC14" s="22">
        <v>1</v>
      </c>
      <c r="CD14" s="22">
        <v>0</v>
      </c>
      <c r="CE14" s="22">
        <v>0</v>
      </c>
      <c r="CF14" s="22">
        <f t="shared" si="8"/>
        <v>3</v>
      </c>
      <c r="CG14" s="22">
        <v>0</v>
      </c>
      <c r="CH14" s="22">
        <v>7</v>
      </c>
      <c r="CI14" s="23">
        <v>1</v>
      </c>
      <c r="CJ14" s="23">
        <v>0</v>
      </c>
      <c r="CK14" s="23">
        <v>0</v>
      </c>
      <c r="CL14" s="23">
        <v>0</v>
      </c>
      <c r="CM14" s="23">
        <v>8</v>
      </c>
      <c r="CN14" s="23" t="s">
        <v>219</v>
      </c>
      <c r="CO14" s="18" t="s">
        <v>267</v>
      </c>
      <c r="CP14" s="18" t="s">
        <v>205</v>
      </c>
      <c r="CQ14" s="18">
        <v>180</v>
      </c>
      <c r="CR14" s="18">
        <v>1500</v>
      </c>
      <c r="CS14" s="18" t="s">
        <v>236</v>
      </c>
      <c r="CT14" s="18" t="s">
        <v>207</v>
      </c>
      <c r="CU14" s="17">
        <f t="shared" si="18"/>
        <v>3130</v>
      </c>
      <c r="CV14" s="18" t="s">
        <v>208</v>
      </c>
      <c r="CW14" s="17">
        <v>3600</v>
      </c>
      <c r="CX14" s="21">
        <v>1.5</v>
      </c>
      <c r="CY14" s="17">
        <v>5400</v>
      </c>
      <c r="CZ14" s="17">
        <v>600</v>
      </c>
      <c r="DA14" s="17">
        <v>0</v>
      </c>
      <c r="DB14" s="17">
        <v>1</v>
      </c>
      <c r="DC14" s="17">
        <v>0</v>
      </c>
      <c r="DD14" s="17">
        <v>3</v>
      </c>
      <c r="DE14" s="17">
        <v>110</v>
      </c>
      <c r="DF14" s="17">
        <v>21</v>
      </c>
      <c r="DG14" s="21">
        <v>7.1</v>
      </c>
      <c r="DH14" s="18">
        <v>4.24</v>
      </c>
      <c r="DI14" s="18">
        <v>112</v>
      </c>
      <c r="DJ14" s="18">
        <v>34.200000000000003</v>
      </c>
      <c r="DK14" s="17">
        <v>114</v>
      </c>
      <c r="DL14" s="21">
        <v>15.6</v>
      </c>
      <c r="DM14" s="21">
        <v>36.5</v>
      </c>
      <c r="DN14" s="18"/>
      <c r="DO14" s="18">
        <v>4.74</v>
      </c>
      <c r="DP14" s="21">
        <v>23</v>
      </c>
      <c r="DQ14" s="18">
        <v>0.69</v>
      </c>
      <c r="DR14" s="18">
        <v>114.65</v>
      </c>
      <c r="DU14" s="10">
        <v>54</v>
      </c>
      <c r="DV14" s="10">
        <v>68</v>
      </c>
      <c r="DY14" s="18">
        <v>145.72</v>
      </c>
      <c r="DZ14" s="18">
        <v>4.17</v>
      </c>
      <c r="EA14" s="18">
        <v>108.8</v>
      </c>
      <c r="EB14" s="18"/>
      <c r="EC14" s="18"/>
      <c r="ED14" s="17">
        <v>365</v>
      </c>
      <c r="EE14" s="18">
        <v>7.34</v>
      </c>
      <c r="EF14" s="18">
        <v>48</v>
      </c>
      <c r="EG14" s="18">
        <v>133.9</v>
      </c>
      <c r="EH14" s="18">
        <v>25.1</v>
      </c>
      <c r="EI14" s="18">
        <f>EG14/EJ14</f>
        <v>446.33333333333337</v>
      </c>
      <c r="EJ14" s="18">
        <v>0.3</v>
      </c>
      <c r="EK14" s="10">
        <v>2.0699999999999998</v>
      </c>
      <c r="EL14" s="18">
        <v>7.3</v>
      </c>
      <c r="EM14" s="18">
        <v>15</v>
      </c>
      <c r="EN14" s="22">
        <v>4</v>
      </c>
      <c r="EO14" s="22">
        <v>5.0546156919954752</v>
      </c>
      <c r="EP14" s="18">
        <f t="shared" si="9"/>
        <v>1</v>
      </c>
      <c r="EQ14" s="18">
        <f t="shared" si="10"/>
        <v>1</v>
      </c>
      <c r="ER14" s="18">
        <f t="shared" si="11"/>
        <v>0</v>
      </c>
      <c r="ES14" s="18">
        <f t="shared" si="12"/>
        <v>2</v>
      </c>
      <c r="ET14" s="22">
        <v>0</v>
      </c>
      <c r="EU14" s="22">
        <v>0</v>
      </c>
      <c r="EV14" s="22">
        <v>0</v>
      </c>
      <c r="EW14" s="22">
        <v>0</v>
      </c>
      <c r="EX14" s="22">
        <v>0</v>
      </c>
      <c r="EY14" s="22">
        <f t="shared" si="13"/>
        <v>0</v>
      </c>
      <c r="EZ14" s="22">
        <v>7</v>
      </c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7">
        <v>365</v>
      </c>
      <c r="FT14" s="18"/>
      <c r="FU14" s="18"/>
      <c r="FV14" s="18"/>
      <c r="FW14" s="18"/>
      <c r="FX14" s="18"/>
      <c r="FY14" s="18"/>
      <c r="FZ14" s="18"/>
      <c r="GA14" s="18"/>
      <c r="GB14" s="22">
        <v>7</v>
      </c>
      <c r="GC14" s="22">
        <v>4</v>
      </c>
      <c r="GD14" s="22">
        <v>0</v>
      </c>
      <c r="GE14" s="18"/>
      <c r="GF14" s="18">
        <f t="shared" si="14"/>
        <v>0.88338658146964855</v>
      </c>
      <c r="GG14" s="17">
        <f>BI14-ED14</f>
        <v>2765</v>
      </c>
      <c r="GH14" s="17">
        <f t="shared" si="16"/>
        <v>3</v>
      </c>
      <c r="GI14" s="17">
        <f t="shared" si="17"/>
        <v>18</v>
      </c>
    </row>
    <row r="15" spans="1:193" ht="18" customHeight="1" x14ac:dyDescent="0.45">
      <c r="A15" s="14">
        <v>13</v>
      </c>
      <c r="B15" s="35" t="s">
        <v>323</v>
      </c>
      <c r="C15" s="15" t="s">
        <v>324</v>
      </c>
      <c r="D15" s="16">
        <v>0</v>
      </c>
      <c r="E15" s="17">
        <v>1949</v>
      </c>
      <c r="F15" s="17">
        <f t="shared" si="0"/>
        <v>74</v>
      </c>
      <c r="G15" s="18" t="s">
        <v>237</v>
      </c>
      <c r="H15" s="18" t="s">
        <v>234</v>
      </c>
      <c r="I15" s="17">
        <v>1</v>
      </c>
      <c r="J15" s="18">
        <f t="shared" si="1"/>
        <v>2.4</v>
      </c>
      <c r="K15" s="17">
        <v>50</v>
      </c>
      <c r="L15" s="17">
        <v>147</v>
      </c>
      <c r="M15" s="18">
        <f t="shared" si="2"/>
        <v>23.138507103521682</v>
      </c>
      <c r="N15" s="17">
        <v>0</v>
      </c>
      <c r="O15" s="17">
        <v>1</v>
      </c>
      <c r="P15" s="17">
        <v>0</v>
      </c>
      <c r="Q15" s="17">
        <v>0</v>
      </c>
      <c r="R15" s="17">
        <v>1</v>
      </c>
      <c r="S15" s="17">
        <v>0</v>
      </c>
      <c r="T15" s="17">
        <v>1</v>
      </c>
      <c r="U15" s="17">
        <v>1</v>
      </c>
      <c r="V15" s="19">
        <v>44422</v>
      </c>
      <c r="W15" s="17">
        <v>12</v>
      </c>
      <c r="X15" s="20">
        <v>8</v>
      </c>
      <c r="Y15" s="17">
        <v>1</v>
      </c>
      <c r="Z15" s="17">
        <v>13</v>
      </c>
      <c r="AA15" s="17">
        <v>118</v>
      </c>
      <c r="AB15" s="17">
        <v>90</v>
      </c>
      <c r="AC15" s="17">
        <v>60</v>
      </c>
      <c r="AD15" s="18">
        <f t="shared" si="3"/>
        <v>70</v>
      </c>
      <c r="AE15" s="18">
        <v>20</v>
      </c>
      <c r="AF15" s="17">
        <v>38</v>
      </c>
      <c r="AG15" s="17">
        <v>1</v>
      </c>
      <c r="AH15" s="17">
        <v>1</v>
      </c>
      <c r="AI15" s="17">
        <v>0</v>
      </c>
      <c r="AJ15" s="17">
        <v>14</v>
      </c>
      <c r="AK15" s="18">
        <v>12.5</v>
      </c>
      <c r="AL15" s="18">
        <v>3.8</v>
      </c>
      <c r="AM15" s="18">
        <v>111</v>
      </c>
      <c r="AN15" s="18">
        <v>32</v>
      </c>
      <c r="AO15" s="18">
        <v>369</v>
      </c>
      <c r="AP15" s="18">
        <v>11</v>
      </c>
      <c r="AQ15" s="18">
        <v>43</v>
      </c>
      <c r="AR15" s="18"/>
      <c r="AS15" s="21">
        <v>35</v>
      </c>
      <c r="AT15" s="18"/>
      <c r="AV15" s="10">
        <v>54</v>
      </c>
      <c r="AW15" s="10">
        <v>25</v>
      </c>
      <c r="AX15" s="17">
        <v>20</v>
      </c>
      <c r="AY15" s="18">
        <v>0.81</v>
      </c>
      <c r="BA15" s="5">
        <v>0.59</v>
      </c>
      <c r="BB15" s="5">
        <v>0.05</v>
      </c>
      <c r="BC15" s="21">
        <v>69</v>
      </c>
      <c r="BD15" s="17">
        <v>130</v>
      </c>
      <c r="BE15" s="21">
        <v>3.9</v>
      </c>
      <c r="BF15" s="17">
        <v>95</v>
      </c>
      <c r="BH15" s="17">
        <v>227</v>
      </c>
      <c r="BI15" s="17">
        <v>1340</v>
      </c>
      <c r="BJ15" s="17">
        <v>191</v>
      </c>
      <c r="BK15" s="18"/>
      <c r="BL15" s="18"/>
      <c r="BM15" s="18">
        <v>7.4</v>
      </c>
      <c r="BN15" s="17">
        <v>40</v>
      </c>
      <c r="BO15" s="17">
        <v>83</v>
      </c>
      <c r="BP15" s="21">
        <v>23</v>
      </c>
      <c r="BQ15" s="21">
        <v>400</v>
      </c>
      <c r="BR15" s="18"/>
      <c r="BT15" s="18">
        <v>4.8</v>
      </c>
      <c r="BU15" s="20">
        <v>8</v>
      </c>
      <c r="BV15" s="22">
        <v>8.7145290593121416</v>
      </c>
      <c r="BW15" s="18">
        <f t="shared" si="4"/>
        <v>1</v>
      </c>
      <c r="BX15" s="18">
        <f t="shared" si="5"/>
        <v>0</v>
      </c>
      <c r="BY15" s="18">
        <f t="shared" si="6"/>
        <v>0</v>
      </c>
      <c r="BZ15" s="18">
        <f t="shared" si="7"/>
        <v>1</v>
      </c>
      <c r="CA15" s="22">
        <v>0</v>
      </c>
      <c r="CB15" s="22">
        <v>0</v>
      </c>
      <c r="CC15" s="22">
        <v>1</v>
      </c>
      <c r="CD15" s="22">
        <v>1</v>
      </c>
      <c r="CE15" s="22">
        <v>0</v>
      </c>
      <c r="CF15" s="22">
        <f t="shared" si="8"/>
        <v>2</v>
      </c>
      <c r="CG15" s="22">
        <v>1</v>
      </c>
      <c r="CH15" s="22">
        <v>1</v>
      </c>
      <c r="CI15" s="23">
        <v>1</v>
      </c>
      <c r="CJ15" s="23">
        <v>0</v>
      </c>
      <c r="CK15" s="23">
        <v>0</v>
      </c>
      <c r="CL15" s="23">
        <v>0</v>
      </c>
      <c r="CM15" s="23">
        <v>8</v>
      </c>
      <c r="CN15" s="23" t="s">
        <v>203</v>
      </c>
      <c r="CO15" s="18" t="s">
        <v>382</v>
      </c>
      <c r="CP15" s="18" t="s">
        <v>235</v>
      </c>
      <c r="CQ15" s="18">
        <v>180</v>
      </c>
      <c r="CR15" s="18">
        <v>800</v>
      </c>
      <c r="CS15" s="18" t="s">
        <v>236</v>
      </c>
      <c r="CT15" s="18" t="s">
        <v>207</v>
      </c>
      <c r="CU15" s="17">
        <v>2005</v>
      </c>
      <c r="CV15" s="18" t="s">
        <v>209</v>
      </c>
      <c r="CW15" s="17">
        <v>2300</v>
      </c>
      <c r="CX15" s="21">
        <v>1.5</v>
      </c>
      <c r="CY15" s="17">
        <v>3500</v>
      </c>
      <c r="CZ15" s="17">
        <v>1500</v>
      </c>
      <c r="DA15" s="17">
        <v>500</v>
      </c>
      <c r="DB15" s="17">
        <v>1</v>
      </c>
      <c r="DC15" s="17">
        <v>0</v>
      </c>
      <c r="DD15" s="17">
        <v>3</v>
      </c>
      <c r="DE15" s="17">
        <v>98</v>
      </c>
      <c r="DF15" s="17">
        <v>18</v>
      </c>
      <c r="DG15" s="21">
        <v>8.1199999999999992</v>
      </c>
      <c r="DH15" s="18">
        <v>4.12</v>
      </c>
      <c r="DI15" s="18">
        <v>123</v>
      </c>
      <c r="DJ15" s="18">
        <v>35</v>
      </c>
      <c r="DK15" s="17">
        <v>165</v>
      </c>
      <c r="DL15" s="21">
        <v>12</v>
      </c>
      <c r="DM15" s="21">
        <v>43</v>
      </c>
      <c r="DN15" s="18"/>
      <c r="DO15" s="18"/>
      <c r="DP15" s="21">
        <v>14</v>
      </c>
      <c r="DQ15" s="18">
        <v>0.43</v>
      </c>
      <c r="DR15" s="18">
        <v>113</v>
      </c>
      <c r="DU15" s="10">
        <v>11</v>
      </c>
      <c r="DV15" s="10">
        <v>8</v>
      </c>
      <c r="DW15" s="10">
        <v>0.84</v>
      </c>
      <c r="DX15" s="10">
        <v>0.13</v>
      </c>
      <c r="DY15" s="18">
        <v>129</v>
      </c>
      <c r="DZ15" s="18">
        <v>4.04</v>
      </c>
      <c r="EA15" s="18">
        <v>107</v>
      </c>
      <c r="EB15" s="18"/>
      <c r="EC15" s="18">
        <v>51</v>
      </c>
      <c r="ED15" s="17">
        <v>489</v>
      </c>
      <c r="EE15" s="18">
        <v>7.4</v>
      </c>
      <c r="EF15" s="18">
        <v>45</v>
      </c>
      <c r="EG15" s="18">
        <v>87</v>
      </c>
      <c r="EH15" s="18">
        <v>24</v>
      </c>
      <c r="EI15" s="18">
        <f>EG15/0.21</f>
        <v>414.28571428571428</v>
      </c>
      <c r="EJ15" s="18">
        <f>EG15/EI15</f>
        <v>0.21</v>
      </c>
      <c r="EK15" s="10">
        <v>2.2599999999999998</v>
      </c>
      <c r="EL15" s="18"/>
      <c r="EM15" s="18">
        <v>15</v>
      </c>
      <c r="EN15" s="22">
        <v>11</v>
      </c>
      <c r="EO15" s="22">
        <v>12.886854903027482</v>
      </c>
      <c r="EP15" s="18">
        <f t="shared" si="9"/>
        <v>1</v>
      </c>
      <c r="EQ15" s="18">
        <f t="shared" si="10"/>
        <v>0</v>
      </c>
      <c r="ER15" s="18">
        <f t="shared" si="11"/>
        <v>0</v>
      </c>
      <c r="ES15" s="18">
        <f t="shared" si="12"/>
        <v>1</v>
      </c>
      <c r="ET15" s="22">
        <v>0</v>
      </c>
      <c r="EU15" s="22">
        <v>0</v>
      </c>
      <c r="EV15" s="22">
        <v>0</v>
      </c>
      <c r="EW15" s="22">
        <v>1</v>
      </c>
      <c r="EX15" s="22">
        <v>0</v>
      </c>
      <c r="EY15" s="22">
        <f t="shared" si="13"/>
        <v>1</v>
      </c>
      <c r="EZ15" s="22">
        <v>0</v>
      </c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7">
        <v>489</v>
      </c>
      <c r="FT15" s="18"/>
      <c r="FU15" s="18"/>
      <c r="FV15" s="18"/>
      <c r="FW15" s="18"/>
      <c r="FX15" s="18"/>
      <c r="FY15" s="18"/>
      <c r="FZ15" s="18"/>
      <c r="GA15" s="18"/>
      <c r="GB15" s="22">
        <v>0</v>
      </c>
      <c r="GC15" s="22">
        <v>11</v>
      </c>
      <c r="GD15" s="22">
        <v>0</v>
      </c>
      <c r="GE15" s="18"/>
      <c r="GF15" s="18">
        <f t="shared" si="14"/>
        <v>0.63507462686567162</v>
      </c>
      <c r="GG15" s="17">
        <f>BI15-ED15</f>
        <v>851</v>
      </c>
      <c r="GH15" s="17">
        <f t="shared" si="16"/>
        <v>1</v>
      </c>
      <c r="GI15" s="17">
        <f t="shared" si="17"/>
        <v>-3</v>
      </c>
    </row>
    <row r="16" spans="1:193" ht="18" customHeight="1" x14ac:dyDescent="0.45">
      <c r="A16" s="14">
        <v>14</v>
      </c>
      <c r="B16" s="35" t="s">
        <v>17</v>
      </c>
      <c r="C16" s="15" t="s">
        <v>18</v>
      </c>
      <c r="D16" s="16">
        <v>0</v>
      </c>
      <c r="E16" s="17">
        <v>1984</v>
      </c>
      <c r="F16" s="17">
        <f t="shared" si="0"/>
        <v>39</v>
      </c>
      <c r="G16" s="18" t="s">
        <v>200</v>
      </c>
      <c r="H16" s="18" t="s">
        <v>350</v>
      </c>
      <c r="I16" s="17">
        <v>0</v>
      </c>
      <c r="J16" s="18">
        <f t="shared" si="1"/>
        <v>3.36</v>
      </c>
      <c r="K16" s="17">
        <v>70</v>
      </c>
      <c r="L16" s="17">
        <v>168</v>
      </c>
      <c r="M16" s="18">
        <f t="shared" si="2"/>
        <v>24.801587301587304</v>
      </c>
      <c r="N16" s="17">
        <v>0</v>
      </c>
      <c r="O16" s="17">
        <v>0</v>
      </c>
      <c r="P16" s="17">
        <v>1</v>
      </c>
      <c r="Q16" s="17">
        <v>0</v>
      </c>
      <c r="R16" s="17">
        <v>0</v>
      </c>
      <c r="S16" s="17">
        <v>0</v>
      </c>
      <c r="T16" s="17">
        <v>1</v>
      </c>
      <c r="U16" s="17">
        <v>1</v>
      </c>
      <c r="V16" s="19">
        <v>44076</v>
      </c>
      <c r="W16" s="17">
        <v>48</v>
      </c>
      <c r="X16" s="20">
        <v>31</v>
      </c>
      <c r="Y16" s="17">
        <v>1</v>
      </c>
      <c r="Z16" s="17">
        <v>5</v>
      </c>
      <c r="AA16" s="17">
        <v>150</v>
      </c>
      <c r="AB16" s="17">
        <v>70</v>
      </c>
      <c r="AC16" s="17">
        <v>40</v>
      </c>
      <c r="AD16" s="18">
        <f t="shared" si="3"/>
        <v>50</v>
      </c>
      <c r="AE16" s="18">
        <v>20</v>
      </c>
      <c r="AF16" s="17">
        <v>37</v>
      </c>
      <c r="AG16" s="17">
        <v>1</v>
      </c>
      <c r="AH16" s="17">
        <v>1</v>
      </c>
      <c r="AI16" s="17">
        <v>0</v>
      </c>
      <c r="AJ16" s="17">
        <v>5</v>
      </c>
      <c r="AK16" s="18">
        <v>20.7</v>
      </c>
      <c r="AL16" s="18">
        <v>4.88</v>
      </c>
      <c r="AM16" s="18">
        <v>160</v>
      </c>
      <c r="AN16" s="18">
        <v>47.1</v>
      </c>
      <c r="AO16" s="18">
        <v>91</v>
      </c>
      <c r="AP16" s="18">
        <v>19.600000000000001</v>
      </c>
      <c r="AQ16" s="18">
        <v>30.8</v>
      </c>
      <c r="AR16" s="18">
        <v>0.88</v>
      </c>
      <c r="AT16" s="18"/>
      <c r="AV16" s="10">
        <v>24.34</v>
      </c>
      <c r="AW16" s="10">
        <v>39</v>
      </c>
      <c r="AX16" s="17">
        <v>17</v>
      </c>
      <c r="AY16" s="18">
        <v>2.94</v>
      </c>
      <c r="BA16" s="5">
        <v>1.25</v>
      </c>
      <c r="BB16" s="5">
        <v>0.39</v>
      </c>
      <c r="BC16" s="21">
        <v>26.17</v>
      </c>
      <c r="BD16" s="17">
        <v>143</v>
      </c>
      <c r="BE16" s="21">
        <v>4.5999999999999996</v>
      </c>
      <c r="BF16" s="17">
        <v>111</v>
      </c>
      <c r="BG16" s="17">
        <v>1454</v>
      </c>
      <c r="BH16" s="17">
        <v>4185</v>
      </c>
      <c r="BI16" s="17">
        <v>1733</v>
      </c>
      <c r="BJ16" s="17">
        <v>232</v>
      </c>
      <c r="BK16" s="18"/>
      <c r="BL16" s="18"/>
      <c r="BM16" s="18">
        <v>7.22</v>
      </c>
      <c r="BN16" s="17">
        <v>36.1</v>
      </c>
      <c r="BO16" s="17">
        <v>244</v>
      </c>
      <c r="BP16" s="21">
        <v>14.1</v>
      </c>
      <c r="BQ16" s="21">
        <f>BO16/BR16</f>
        <v>420.68965517241384</v>
      </c>
      <c r="BR16" s="18">
        <v>0.57999999999999996</v>
      </c>
      <c r="BT16" s="18">
        <v>0.76</v>
      </c>
      <c r="BU16" s="20">
        <v>31</v>
      </c>
      <c r="BV16" s="22">
        <v>73.282440203207784</v>
      </c>
      <c r="BW16" s="18">
        <f t="shared" si="4"/>
        <v>1</v>
      </c>
      <c r="BX16" s="18">
        <f t="shared" si="5"/>
        <v>0</v>
      </c>
      <c r="BY16" s="18">
        <f t="shared" si="6"/>
        <v>0</v>
      </c>
      <c r="BZ16" s="18">
        <f t="shared" si="7"/>
        <v>1</v>
      </c>
      <c r="CA16" s="22">
        <v>0</v>
      </c>
      <c r="CB16" s="22">
        <v>1</v>
      </c>
      <c r="CC16" s="22">
        <v>1</v>
      </c>
      <c r="CD16" s="22">
        <v>0</v>
      </c>
      <c r="CE16" s="22">
        <v>1</v>
      </c>
      <c r="CF16" s="22">
        <f t="shared" si="8"/>
        <v>3</v>
      </c>
      <c r="CG16" s="22">
        <v>2</v>
      </c>
      <c r="CH16" s="22">
        <v>10</v>
      </c>
      <c r="CI16" s="23">
        <v>0</v>
      </c>
      <c r="CJ16" s="23">
        <v>0</v>
      </c>
      <c r="CK16" s="23">
        <v>1</v>
      </c>
      <c r="CL16" s="23">
        <v>0</v>
      </c>
      <c r="CM16" s="23">
        <v>10</v>
      </c>
      <c r="CN16" s="23" t="s">
        <v>203</v>
      </c>
      <c r="CO16" s="18" t="s">
        <v>363</v>
      </c>
      <c r="CP16" s="18" t="s">
        <v>235</v>
      </c>
      <c r="CQ16" s="18">
        <v>180</v>
      </c>
      <c r="CR16" s="18">
        <v>1500</v>
      </c>
      <c r="CS16" s="18" t="s">
        <v>236</v>
      </c>
      <c r="CT16" s="18" t="s">
        <v>207</v>
      </c>
      <c r="CU16" s="17">
        <f>BI16</f>
        <v>1733</v>
      </c>
      <c r="CV16" s="18" t="s">
        <v>209</v>
      </c>
      <c r="CW16" s="17">
        <v>3400</v>
      </c>
      <c r="CX16" s="21">
        <v>1.5</v>
      </c>
      <c r="CY16" s="17">
        <v>5100</v>
      </c>
      <c r="DB16" s="17">
        <v>1</v>
      </c>
      <c r="DC16" s="17">
        <v>1</v>
      </c>
      <c r="DD16" s="17">
        <v>3</v>
      </c>
      <c r="DE16" s="17">
        <v>140</v>
      </c>
      <c r="DF16" s="17">
        <v>16</v>
      </c>
      <c r="DG16" s="21">
        <v>7.96</v>
      </c>
      <c r="DH16" s="18">
        <v>3.12</v>
      </c>
      <c r="DI16" s="18">
        <v>99</v>
      </c>
      <c r="DJ16" s="18">
        <v>30.3</v>
      </c>
      <c r="DK16" s="17">
        <v>59</v>
      </c>
      <c r="DL16" s="21">
        <v>12.2</v>
      </c>
      <c r="DM16" s="21">
        <v>29.3</v>
      </c>
      <c r="DN16" s="18">
        <v>192.5</v>
      </c>
      <c r="DO16" s="18">
        <v>4.32</v>
      </c>
      <c r="DP16" s="21">
        <v>31</v>
      </c>
      <c r="DQ16" s="18">
        <v>3.58</v>
      </c>
      <c r="DR16" s="18">
        <v>20.63</v>
      </c>
      <c r="DU16" s="10">
        <v>42</v>
      </c>
      <c r="DV16" s="10">
        <v>64</v>
      </c>
      <c r="DY16" s="18">
        <v>140</v>
      </c>
      <c r="DZ16" s="18">
        <v>4.8</v>
      </c>
      <c r="EA16" s="18">
        <v>108</v>
      </c>
      <c r="EB16" s="18">
        <v>2468</v>
      </c>
      <c r="EC16" s="18">
        <v>4646</v>
      </c>
      <c r="ED16" s="17">
        <v>384</v>
      </c>
      <c r="EE16" s="18">
        <v>7.26</v>
      </c>
      <c r="EF16" s="18">
        <v>40.799999999999997</v>
      </c>
      <c r="EG16" s="18">
        <v>114</v>
      </c>
      <c r="EH16" s="18">
        <v>17.399999999999999</v>
      </c>
      <c r="EI16" s="18">
        <f>EG16/0.21</f>
        <v>542.85714285714289</v>
      </c>
      <c r="EJ16" s="18">
        <v>0.3</v>
      </c>
      <c r="EK16" s="10">
        <v>1.86</v>
      </c>
      <c r="EL16" s="5">
        <v>0.97399999999999998</v>
      </c>
      <c r="EM16" s="18">
        <v>15</v>
      </c>
      <c r="EN16" s="22">
        <v>18</v>
      </c>
      <c r="EO16" s="22">
        <v>29.131623542908642</v>
      </c>
      <c r="EP16" s="18">
        <f t="shared" si="9"/>
        <v>1</v>
      </c>
      <c r="EQ16" s="18">
        <f t="shared" si="10"/>
        <v>0</v>
      </c>
      <c r="ER16" s="18">
        <f t="shared" si="11"/>
        <v>1</v>
      </c>
      <c r="ES16" s="18">
        <f t="shared" si="12"/>
        <v>2</v>
      </c>
      <c r="ET16" s="22">
        <v>1</v>
      </c>
      <c r="EU16" s="22">
        <v>0</v>
      </c>
      <c r="EV16" s="22">
        <v>0</v>
      </c>
      <c r="EW16" s="22">
        <v>0</v>
      </c>
      <c r="EX16" s="22">
        <v>1</v>
      </c>
      <c r="EY16" s="22">
        <f t="shared" si="13"/>
        <v>2</v>
      </c>
      <c r="EZ16" s="22">
        <v>9</v>
      </c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7">
        <v>384</v>
      </c>
      <c r="FT16" s="18"/>
      <c r="FU16" s="18"/>
      <c r="FV16" s="18"/>
      <c r="FW16" s="18"/>
      <c r="FX16" s="18"/>
      <c r="FY16" s="18"/>
      <c r="FZ16" s="18"/>
      <c r="GA16" s="18"/>
      <c r="GB16" s="22">
        <v>9</v>
      </c>
      <c r="GC16" s="22">
        <v>18</v>
      </c>
      <c r="GD16" s="22">
        <v>0</v>
      </c>
      <c r="GE16" s="18"/>
      <c r="GF16" s="18">
        <f t="shared" si="14"/>
        <v>0.77841892671667623</v>
      </c>
      <c r="GG16" s="17">
        <f>BI16-ED16</f>
        <v>1349</v>
      </c>
      <c r="GH16" s="17">
        <f t="shared" si="16"/>
        <v>1</v>
      </c>
      <c r="GI16" s="17">
        <f t="shared" si="17"/>
        <v>13</v>
      </c>
    </row>
    <row r="17" spans="1:193" ht="18" customHeight="1" x14ac:dyDescent="0.45">
      <c r="A17" s="14">
        <v>15</v>
      </c>
      <c r="B17" s="35" t="s">
        <v>281</v>
      </c>
      <c r="C17" s="15" t="s">
        <v>282</v>
      </c>
      <c r="D17" s="16">
        <v>0</v>
      </c>
      <c r="E17" s="17">
        <v>1979</v>
      </c>
      <c r="F17" s="17">
        <f t="shared" si="0"/>
        <v>44</v>
      </c>
      <c r="G17" s="18" t="s">
        <v>200</v>
      </c>
      <c r="H17" s="18" t="s">
        <v>201</v>
      </c>
      <c r="I17" s="17">
        <v>0</v>
      </c>
      <c r="J17" s="18">
        <f t="shared" si="1"/>
        <v>4.08</v>
      </c>
      <c r="K17" s="17">
        <v>85</v>
      </c>
      <c r="L17" s="17">
        <v>172</v>
      </c>
      <c r="M17" s="18">
        <f t="shared" si="2"/>
        <v>28.731746890210928</v>
      </c>
      <c r="N17" s="17">
        <v>0</v>
      </c>
      <c r="O17" s="17">
        <v>1</v>
      </c>
      <c r="P17" s="17">
        <v>0</v>
      </c>
      <c r="Q17" s="17">
        <v>0</v>
      </c>
      <c r="R17" s="17">
        <v>0</v>
      </c>
      <c r="S17" s="17">
        <v>0</v>
      </c>
      <c r="T17" s="17">
        <v>1</v>
      </c>
      <c r="U17" s="17">
        <v>1</v>
      </c>
      <c r="V17" s="19" t="s">
        <v>202</v>
      </c>
      <c r="W17" s="17">
        <v>12</v>
      </c>
      <c r="X17" s="20">
        <v>9</v>
      </c>
      <c r="Y17" s="17">
        <v>2</v>
      </c>
      <c r="Z17" s="17">
        <v>13</v>
      </c>
      <c r="AA17" s="17">
        <v>90</v>
      </c>
      <c r="AB17" s="17">
        <v>130</v>
      </c>
      <c r="AC17" s="17">
        <v>70</v>
      </c>
      <c r="AD17" s="18">
        <f t="shared" si="3"/>
        <v>90</v>
      </c>
      <c r="AE17" s="18">
        <v>16</v>
      </c>
      <c r="AF17" s="17">
        <v>37</v>
      </c>
      <c r="AG17" s="17">
        <v>0</v>
      </c>
      <c r="AH17" s="17">
        <v>0</v>
      </c>
      <c r="AI17" s="17">
        <v>0</v>
      </c>
      <c r="AJ17" s="17">
        <v>13</v>
      </c>
      <c r="AK17" s="18">
        <v>13</v>
      </c>
      <c r="AL17" s="18">
        <v>5.3</v>
      </c>
      <c r="AM17" s="18">
        <v>187</v>
      </c>
      <c r="AN17" s="18">
        <v>49</v>
      </c>
      <c r="AO17" s="18">
        <v>188</v>
      </c>
      <c r="AP17" s="18">
        <v>12</v>
      </c>
      <c r="AQ17" s="18">
        <v>27</v>
      </c>
      <c r="AR17" s="18">
        <v>2.7</v>
      </c>
      <c r="AS17" s="21">
        <v>154</v>
      </c>
      <c r="AT17" s="18"/>
      <c r="AV17" s="10">
        <v>36</v>
      </c>
      <c r="AW17" s="10">
        <v>35</v>
      </c>
      <c r="AX17" s="17">
        <v>18</v>
      </c>
      <c r="AY17" s="18">
        <v>0.7</v>
      </c>
      <c r="BA17" s="5">
        <v>1.32</v>
      </c>
      <c r="BB17" s="5">
        <v>0.42</v>
      </c>
      <c r="BC17" s="21">
        <v>115</v>
      </c>
      <c r="BD17" s="17">
        <v>127</v>
      </c>
      <c r="BE17" s="21">
        <v>4</v>
      </c>
      <c r="BF17" s="17">
        <v>94</v>
      </c>
      <c r="BG17" s="17">
        <v>516</v>
      </c>
      <c r="BH17" s="17">
        <v>675</v>
      </c>
      <c r="BI17" s="17">
        <v>5900</v>
      </c>
      <c r="BJ17" s="17">
        <v>221</v>
      </c>
      <c r="BK17" s="18">
        <v>8.4</v>
      </c>
      <c r="BL17" s="18"/>
      <c r="BM17" s="18">
        <v>7.32</v>
      </c>
      <c r="BN17" s="17">
        <v>36</v>
      </c>
      <c r="BO17" s="17">
        <v>52</v>
      </c>
      <c r="BP17" s="21">
        <v>19</v>
      </c>
      <c r="BQ17" s="21">
        <f>BO17/BR17</f>
        <v>92.857142857142847</v>
      </c>
      <c r="BR17" s="18">
        <v>0.56000000000000005</v>
      </c>
      <c r="BS17" s="10">
        <v>1.9</v>
      </c>
      <c r="BU17" s="20">
        <v>9</v>
      </c>
      <c r="BV17" s="22">
        <v>9.9481411429015392</v>
      </c>
      <c r="BW17" s="18">
        <f t="shared" si="4"/>
        <v>1</v>
      </c>
      <c r="BX17" s="18">
        <f t="shared" si="5"/>
        <v>0</v>
      </c>
      <c r="BY17" s="18">
        <f t="shared" si="6"/>
        <v>0</v>
      </c>
      <c r="BZ17" s="18">
        <f t="shared" si="7"/>
        <v>1</v>
      </c>
      <c r="CA17" s="22">
        <v>0</v>
      </c>
      <c r="CB17" s="22">
        <v>0</v>
      </c>
      <c r="CC17" s="22">
        <v>0</v>
      </c>
      <c r="CD17" s="22">
        <v>0</v>
      </c>
      <c r="CE17" s="22">
        <v>1</v>
      </c>
      <c r="CF17" s="22">
        <f t="shared" si="8"/>
        <v>1</v>
      </c>
      <c r="CG17" s="22">
        <v>1</v>
      </c>
      <c r="CH17" s="22">
        <v>6</v>
      </c>
      <c r="CI17" s="23">
        <v>0</v>
      </c>
      <c r="CJ17" s="23">
        <v>0</v>
      </c>
      <c r="CK17" s="23">
        <v>1</v>
      </c>
      <c r="CL17" s="23">
        <v>0</v>
      </c>
      <c r="CM17" s="23">
        <v>6</v>
      </c>
      <c r="CN17" s="23" t="s">
        <v>203</v>
      </c>
      <c r="CO17" s="18" t="s">
        <v>204</v>
      </c>
      <c r="CP17" s="18" t="s">
        <v>205</v>
      </c>
      <c r="CQ17" s="18">
        <v>180</v>
      </c>
      <c r="CR17" s="18">
        <v>1200</v>
      </c>
      <c r="CS17" s="18" t="s">
        <v>206</v>
      </c>
      <c r="CT17" s="18" t="s">
        <v>207</v>
      </c>
      <c r="CU17" s="17">
        <v>5970</v>
      </c>
      <c r="CV17" s="18" t="s">
        <v>208</v>
      </c>
      <c r="CW17" s="17">
        <v>2000</v>
      </c>
      <c r="CX17" s="21">
        <v>1</v>
      </c>
      <c r="CY17" s="17">
        <v>2000</v>
      </c>
      <c r="CZ17" s="17">
        <v>2500</v>
      </c>
      <c r="DA17" s="17">
        <v>500</v>
      </c>
      <c r="DB17" s="17">
        <v>1</v>
      </c>
      <c r="DC17" s="17">
        <v>1</v>
      </c>
      <c r="DD17" s="17">
        <v>3</v>
      </c>
      <c r="DE17" s="17">
        <v>70</v>
      </c>
      <c r="DF17" s="17">
        <v>12</v>
      </c>
      <c r="DG17" s="21">
        <v>9.3000000000000007</v>
      </c>
      <c r="DH17" s="18">
        <v>5.8</v>
      </c>
      <c r="DI17" s="18">
        <v>185</v>
      </c>
      <c r="DJ17" s="18">
        <v>53</v>
      </c>
      <c r="DK17" s="17">
        <v>165</v>
      </c>
      <c r="DL17" s="21">
        <v>13</v>
      </c>
      <c r="DM17" s="21">
        <v>43</v>
      </c>
      <c r="DN17" s="18"/>
      <c r="DO17" s="18"/>
      <c r="DP17" s="21">
        <v>23</v>
      </c>
      <c r="DQ17" s="18">
        <v>0.65</v>
      </c>
      <c r="DR17" s="18">
        <v>121</v>
      </c>
      <c r="DY17" s="18">
        <v>143</v>
      </c>
      <c r="DZ17" s="18">
        <v>4.2</v>
      </c>
      <c r="EA17" s="18">
        <v>109</v>
      </c>
      <c r="EB17" s="18"/>
      <c r="EC17" s="18"/>
      <c r="ED17" s="17">
        <v>4150</v>
      </c>
      <c r="EE17" s="18">
        <v>7.36</v>
      </c>
      <c r="EF17" s="18">
        <v>41</v>
      </c>
      <c r="EG17" s="18">
        <v>97</v>
      </c>
      <c r="EH17" s="18">
        <v>26</v>
      </c>
      <c r="EI17" s="18">
        <f>EG17/0.21</f>
        <v>461.90476190476193</v>
      </c>
      <c r="EJ17" s="18">
        <v>0.21</v>
      </c>
      <c r="EK17" s="10">
        <v>1.82</v>
      </c>
      <c r="EL17" s="18"/>
      <c r="EM17" s="18">
        <v>14</v>
      </c>
      <c r="EN17" s="22">
        <v>3</v>
      </c>
      <c r="EO17" s="22">
        <v>4.3981843668079526</v>
      </c>
      <c r="EP17" s="18">
        <f t="shared" si="9"/>
        <v>0</v>
      </c>
      <c r="EQ17" s="18">
        <f t="shared" si="10"/>
        <v>0</v>
      </c>
      <c r="ER17" s="18">
        <f t="shared" si="11"/>
        <v>0</v>
      </c>
      <c r="ES17" s="18">
        <f t="shared" si="12"/>
        <v>0</v>
      </c>
      <c r="ET17" s="22">
        <v>0</v>
      </c>
      <c r="EU17" s="22">
        <v>0</v>
      </c>
      <c r="EV17" s="22">
        <v>0</v>
      </c>
      <c r="EW17" s="22">
        <v>0</v>
      </c>
      <c r="EX17" s="22">
        <v>1</v>
      </c>
      <c r="EY17" s="22">
        <f t="shared" si="13"/>
        <v>1</v>
      </c>
      <c r="EZ17" s="22">
        <v>5</v>
      </c>
      <c r="FA17" s="18">
        <v>45048</v>
      </c>
      <c r="FB17" s="18" t="s">
        <v>209</v>
      </c>
      <c r="FC17" s="18">
        <v>9.1999999999999993</v>
      </c>
      <c r="FD17" s="18">
        <v>122</v>
      </c>
      <c r="FE17" s="18">
        <v>40</v>
      </c>
      <c r="FF17" s="18">
        <v>234</v>
      </c>
      <c r="FG17" s="18">
        <v>12</v>
      </c>
      <c r="FH17" s="18">
        <v>30</v>
      </c>
      <c r="FI17" s="18"/>
      <c r="FJ17" s="18"/>
      <c r="FK17" s="18">
        <v>47</v>
      </c>
      <c r="FL17" s="18">
        <v>2.9</v>
      </c>
      <c r="FM17" s="18">
        <v>25</v>
      </c>
      <c r="FN17" s="18">
        <v>128</v>
      </c>
      <c r="FO17" s="18">
        <v>3.8</v>
      </c>
      <c r="FP17" s="18">
        <v>98</v>
      </c>
      <c r="FQ17" s="18"/>
      <c r="FR17" s="18">
        <v>669</v>
      </c>
      <c r="FS17" s="18">
        <v>741</v>
      </c>
      <c r="FT17" s="18">
        <v>7.12</v>
      </c>
      <c r="FU17" s="18">
        <v>54</v>
      </c>
      <c r="FV17" s="18">
        <v>97</v>
      </c>
      <c r="FW17" s="18">
        <v>14</v>
      </c>
      <c r="FX17" s="18">
        <v>0.21</v>
      </c>
      <c r="FY17" s="18">
        <v>461.90476190476193</v>
      </c>
      <c r="FZ17" s="18"/>
      <c r="GA17" s="18">
        <v>12</v>
      </c>
      <c r="GB17" s="22">
        <v>5</v>
      </c>
      <c r="GC17" s="22">
        <v>19</v>
      </c>
      <c r="GD17" s="22">
        <v>0</v>
      </c>
      <c r="GE17" s="22">
        <v>32.234847500456446</v>
      </c>
      <c r="GF17" s="18">
        <f t="shared" si="14"/>
        <v>0.87440677966101699</v>
      </c>
      <c r="GG17" s="17">
        <f>BI17-FS17</f>
        <v>5159</v>
      </c>
      <c r="GH17" s="17">
        <f t="shared" si="16"/>
        <v>0</v>
      </c>
      <c r="GI17" s="17">
        <f t="shared" si="17"/>
        <v>-10</v>
      </c>
      <c r="GJ17" s="18">
        <f>ED17-FS17</f>
        <v>3409</v>
      </c>
      <c r="GK17" s="24">
        <f>GJ17/ED17</f>
        <v>0.82144578313253014</v>
      </c>
    </row>
    <row r="18" spans="1:193" ht="18" customHeight="1" x14ac:dyDescent="0.45">
      <c r="A18" s="14">
        <v>16</v>
      </c>
      <c r="B18" s="35" t="s">
        <v>51</v>
      </c>
      <c r="C18" s="15" t="s">
        <v>52</v>
      </c>
      <c r="D18" s="16">
        <v>0</v>
      </c>
      <c r="E18" s="17">
        <v>1989</v>
      </c>
      <c r="F18" s="17">
        <f t="shared" si="0"/>
        <v>34</v>
      </c>
      <c r="G18" s="18" t="s">
        <v>211</v>
      </c>
      <c r="H18" s="18" t="s">
        <v>234</v>
      </c>
      <c r="I18" s="17">
        <v>0</v>
      </c>
      <c r="J18" s="18">
        <f t="shared" si="1"/>
        <v>3.36</v>
      </c>
      <c r="K18" s="17">
        <v>70</v>
      </c>
      <c r="L18" s="17">
        <v>168</v>
      </c>
      <c r="M18" s="18">
        <f t="shared" si="2"/>
        <v>24.801587301587304</v>
      </c>
      <c r="N18" s="17">
        <v>1</v>
      </c>
      <c r="O18" s="17">
        <v>1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9">
        <v>44888</v>
      </c>
      <c r="W18" s="17">
        <v>48</v>
      </c>
      <c r="X18" s="20">
        <v>11</v>
      </c>
      <c r="Y18" s="17">
        <v>1</v>
      </c>
      <c r="Z18" s="17">
        <v>4</v>
      </c>
      <c r="AA18" s="17">
        <v>145</v>
      </c>
      <c r="AB18" s="17">
        <v>150</v>
      </c>
      <c r="AC18" s="17">
        <v>90</v>
      </c>
      <c r="AD18" s="18">
        <f t="shared" si="3"/>
        <v>110</v>
      </c>
      <c r="AE18" s="18">
        <v>22</v>
      </c>
      <c r="AF18" s="17">
        <v>37</v>
      </c>
      <c r="AG18" s="17">
        <v>1</v>
      </c>
      <c r="AH18" s="17">
        <v>1</v>
      </c>
      <c r="AI18" s="17">
        <v>0</v>
      </c>
      <c r="AJ18" s="17">
        <v>15</v>
      </c>
      <c r="AK18" s="18">
        <v>5.0999999999999996</v>
      </c>
      <c r="AL18" s="18">
        <v>5.9</v>
      </c>
      <c r="AM18" s="18">
        <v>168</v>
      </c>
      <c r="AN18" s="18">
        <v>47</v>
      </c>
      <c r="AO18" s="18">
        <v>259</v>
      </c>
      <c r="AP18" s="18">
        <v>17</v>
      </c>
      <c r="AQ18" s="18">
        <v>32.4</v>
      </c>
      <c r="AR18" s="18"/>
      <c r="AS18" s="21">
        <v>131</v>
      </c>
      <c r="AT18" s="18"/>
      <c r="AV18" s="10">
        <v>25</v>
      </c>
      <c r="AW18" s="10" t="s">
        <v>285</v>
      </c>
      <c r="AX18" s="17">
        <v>12</v>
      </c>
      <c r="AY18" s="18">
        <v>0.9</v>
      </c>
      <c r="BA18" s="5">
        <v>0.46</v>
      </c>
      <c r="BB18" s="5">
        <v>0.09</v>
      </c>
      <c r="BC18" s="21">
        <v>112</v>
      </c>
      <c r="BD18" s="17">
        <v>142</v>
      </c>
      <c r="BE18" s="21">
        <v>4</v>
      </c>
      <c r="BF18" s="17">
        <v>106</v>
      </c>
      <c r="BG18" s="17">
        <v>192</v>
      </c>
      <c r="BH18" s="17">
        <v>228</v>
      </c>
      <c r="BI18" s="17">
        <v>2030</v>
      </c>
      <c r="BJ18" s="17">
        <v>295</v>
      </c>
      <c r="BK18" s="18"/>
      <c r="BL18" s="18">
        <v>80</v>
      </c>
      <c r="BM18" s="18">
        <v>7.43</v>
      </c>
      <c r="BN18" s="17">
        <v>29</v>
      </c>
      <c r="BO18" s="17">
        <v>58</v>
      </c>
      <c r="BP18" s="21">
        <v>18.8</v>
      </c>
      <c r="BQ18" s="21">
        <v>400</v>
      </c>
      <c r="BR18" s="18"/>
      <c r="BS18" s="10">
        <v>2.34</v>
      </c>
      <c r="BU18" s="20">
        <v>11</v>
      </c>
      <c r="BV18" s="22">
        <v>12.886854903027482</v>
      </c>
      <c r="BW18" s="18">
        <f t="shared" si="4"/>
        <v>1</v>
      </c>
      <c r="BX18" s="18">
        <f t="shared" si="5"/>
        <v>1</v>
      </c>
      <c r="BY18" s="18">
        <f t="shared" si="6"/>
        <v>0</v>
      </c>
      <c r="BZ18" s="18">
        <f t="shared" si="7"/>
        <v>2</v>
      </c>
      <c r="CA18" s="22">
        <v>0</v>
      </c>
      <c r="CB18" s="22">
        <v>0</v>
      </c>
      <c r="CC18" s="22">
        <v>1</v>
      </c>
      <c r="CD18" s="22">
        <v>0</v>
      </c>
      <c r="CE18" s="22">
        <v>0</v>
      </c>
      <c r="CF18" s="22">
        <f t="shared" si="8"/>
        <v>1</v>
      </c>
      <c r="CG18" s="22">
        <v>1</v>
      </c>
      <c r="CH18" s="22">
        <v>0</v>
      </c>
      <c r="CI18" s="23">
        <v>0</v>
      </c>
      <c r="CJ18" s="23">
        <v>0</v>
      </c>
      <c r="CK18" s="23">
        <v>1</v>
      </c>
      <c r="CL18" s="23">
        <v>0</v>
      </c>
      <c r="CM18" s="23">
        <v>3</v>
      </c>
      <c r="CN18" s="23" t="s">
        <v>214</v>
      </c>
      <c r="CO18" s="18" t="s">
        <v>283</v>
      </c>
      <c r="CP18" s="18" t="s">
        <v>205</v>
      </c>
      <c r="CQ18" s="18">
        <v>180</v>
      </c>
      <c r="CR18" s="18">
        <v>1500</v>
      </c>
      <c r="CS18" s="18" t="s">
        <v>206</v>
      </c>
      <c r="CT18" s="18" t="s">
        <v>207</v>
      </c>
      <c r="CU18" s="17">
        <f>BI18</f>
        <v>2030</v>
      </c>
      <c r="CV18" s="18" t="s">
        <v>208</v>
      </c>
      <c r="CW18" s="17">
        <v>3000</v>
      </c>
      <c r="CX18" s="21">
        <v>1.5</v>
      </c>
      <c r="CY18" s="17">
        <v>4400</v>
      </c>
      <c r="DB18" s="17">
        <v>1</v>
      </c>
      <c r="DC18" s="17">
        <v>0</v>
      </c>
      <c r="DD18" s="17">
        <v>3</v>
      </c>
      <c r="DE18" s="17">
        <v>135</v>
      </c>
      <c r="DF18" s="17">
        <v>20</v>
      </c>
      <c r="DG18" s="21">
        <v>7.7</v>
      </c>
      <c r="DH18" s="18">
        <v>5.0999999999999996</v>
      </c>
      <c r="DI18" s="18">
        <v>135</v>
      </c>
      <c r="DJ18" s="18">
        <v>41.3</v>
      </c>
      <c r="DK18" s="17">
        <v>178</v>
      </c>
      <c r="DL18" s="21">
        <v>16</v>
      </c>
      <c r="DM18" s="21">
        <v>26.9</v>
      </c>
      <c r="DN18" s="18"/>
      <c r="DO18" s="18">
        <v>4.59</v>
      </c>
      <c r="DP18" s="21">
        <v>14</v>
      </c>
      <c r="DQ18" s="18">
        <v>0.7</v>
      </c>
      <c r="DR18" s="18">
        <v>122</v>
      </c>
      <c r="DU18" s="10">
        <v>16</v>
      </c>
      <c r="DV18" s="10">
        <v>8</v>
      </c>
      <c r="DY18" s="18">
        <v>142</v>
      </c>
      <c r="DZ18" s="18">
        <v>3.5</v>
      </c>
      <c r="EA18" s="18">
        <v>106</v>
      </c>
      <c r="EB18" s="18"/>
      <c r="EC18" s="18">
        <v>50</v>
      </c>
      <c r="ED18" s="17">
        <v>488</v>
      </c>
      <c r="EE18" s="18">
        <v>7.39</v>
      </c>
      <c r="EF18" s="18">
        <v>41</v>
      </c>
      <c r="EG18" s="18">
        <v>89</v>
      </c>
      <c r="EH18" s="18">
        <v>25</v>
      </c>
      <c r="EI18" s="18">
        <f>EG18/0.3</f>
        <v>296.66666666666669</v>
      </c>
      <c r="EJ18" s="18">
        <f t="shared" ref="EJ18:EJ24" si="19">EG18/EI18</f>
        <v>0.3</v>
      </c>
      <c r="EK18" s="10">
        <v>2.16</v>
      </c>
      <c r="EL18" s="18"/>
      <c r="EM18" s="18">
        <v>15</v>
      </c>
      <c r="EN18" s="22">
        <v>5</v>
      </c>
      <c r="EO18" s="22">
        <v>5.8030727493148637</v>
      </c>
      <c r="EP18" s="18">
        <f t="shared" si="9"/>
        <v>1</v>
      </c>
      <c r="EQ18" s="18">
        <f t="shared" si="10"/>
        <v>0</v>
      </c>
      <c r="ER18" s="18">
        <f t="shared" si="11"/>
        <v>0</v>
      </c>
      <c r="ES18" s="18">
        <f t="shared" si="12"/>
        <v>1</v>
      </c>
      <c r="ET18" s="22">
        <v>0</v>
      </c>
      <c r="EU18" s="22">
        <v>0</v>
      </c>
      <c r="EV18" s="22">
        <v>0</v>
      </c>
      <c r="EW18" s="22">
        <v>0</v>
      </c>
      <c r="EX18" s="22">
        <v>0</v>
      </c>
      <c r="EY18" s="22">
        <f t="shared" si="13"/>
        <v>0</v>
      </c>
      <c r="EZ18" s="22">
        <v>0</v>
      </c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7">
        <v>488</v>
      </c>
      <c r="FT18" s="18"/>
      <c r="FU18" s="18"/>
      <c r="FV18" s="18"/>
      <c r="FW18" s="18"/>
      <c r="FX18" s="18"/>
      <c r="FY18" s="18"/>
      <c r="FZ18" s="18"/>
      <c r="GA18" s="18"/>
      <c r="GB18" s="22">
        <v>0</v>
      </c>
      <c r="GC18" s="22">
        <v>5</v>
      </c>
      <c r="GD18" s="22">
        <v>0</v>
      </c>
      <c r="GE18" s="18"/>
      <c r="GF18" s="18">
        <f t="shared" si="14"/>
        <v>0.75960591133004929</v>
      </c>
      <c r="GG18" s="17">
        <f t="shared" ref="GG18:GG28" si="20">BI18-ED18</f>
        <v>1542</v>
      </c>
      <c r="GH18" s="17">
        <f t="shared" si="16"/>
        <v>1</v>
      </c>
      <c r="GI18" s="17">
        <f t="shared" si="17"/>
        <v>6</v>
      </c>
    </row>
    <row r="19" spans="1:193" ht="18" customHeight="1" x14ac:dyDescent="0.45">
      <c r="A19" s="14">
        <v>17</v>
      </c>
      <c r="B19" s="35" t="s">
        <v>271</v>
      </c>
      <c r="C19" s="15" t="s">
        <v>272</v>
      </c>
      <c r="D19" s="16">
        <v>0</v>
      </c>
      <c r="E19" s="17">
        <v>1986</v>
      </c>
      <c r="F19" s="17">
        <f t="shared" si="0"/>
        <v>37</v>
      </c>
      <c r="G19" s="18" t="s">
        <v>211</v>
      </c>
      <c r="H19" s="18" t="s">
        <v>234</v>
      </c>
      <c r="I19" s="17">
        <v>0</v>
      </c>
      <c r="J19" s="18">
        <f t="shared" si="1"/>
        <v>3.12</v>
      </c>
      <c r="K19" s="17">
        <v>65</v>
      </c>
      <c r="L19" s="17">
        <v>168</v>
      </c>
      <c r="M19" s="18">
        <f t="shared" si="2"/>
        <v>23.030045351473927</v>
      </c>
      <c r="N19" s="17">
        <v>0</v>
      </c>
      <c r="O19" s="17">
        <v>1</v>
      </c>
      <c r="P19" s="17">
        <v>0</v>
      </c>
      <c r="Q19" s="17">
        <v>0</v>
      </c>
      <c r="R19" s="17">
        <v>1</v>
      </c>
      <c r="S19" s="17">
        <v>0</v>
      </c>
      <c r="T19" s="17">
        <v>0</v>
      </c>
      <c r="U19" s="17">
        <v>0</v>
      </c>
      <c r="V19" s="19" t="s">
        <v>440</v>
      </c>
      <c r="W19" s="17">
        <v>12</v>
      </c>
      <c r="X19" s="20">
        <v>9</v>
      </c>
      <c r="Y19" s="17">
        <v>1</v>
      </c>
      <c r="Z19" s="17">
        <v>12</v>
      </c>
      <c r="AA19" s="17">
        <v>90</v>
      </c>
      <c r="AB19" s="17">
        <v>130</v>
      </c>
      <c r="AC19" s="17">
        <v>70</v>
      </c>
      <c r="AD19" s="18">
        <f t="shared" si="3"/>
        <v>90</v>
      </c>
      <c r="AE19" s="18">
        <v>20</v>
      </c>
      <c r="AF19" s="17">
        <v>37</v>
      </c>
      <c r="AG19" s="17">
        <v>1</v>
      </c>
      <c r="AH19" s="17">
        <v>1</v>
      </c>
      <c r="AI19" s="17">
        <v>0</v>
      </c>
      <c r="AJ19" s="17">
        <v>12</v>
      </c>
      <c r="AK19" s="18">
        <v>12</v>
      </c>
      <c r="AL19" s="18">
        <v>5.3</v>
      </c>
      <c r="AM19" s="18">
        <v>160</v>
      </c>
      <c r="AN19" s="18">
        <v>42.7</v>
      </c>
      <c r="AO19" s="18">
        <v>178</v>
      </c>
      <c r="AP19" s="18">
        <v>12</v>
      </c>
      <c r="AQ19" s="18">
        <v>28</v>
      </c>
      <c r="AR19" s="18"/>
      <c r="AS19" s="21">
        <v>58</v>
      </c>
      <c r="AT19" s="18"/>
      <c r="AV19" s="10">
        <v>20</v>
      </c>
      <c r="AW19" s="10">
        <v>20</v>
      </c>
      <c r="AX19" s="17">
        <v>19.7</v>
      </c>
      <c r="AY19" s="18">
        <v>0.51</v>
      </c>
      <c r="BC19" s="21">
        <v>134</v>
      </c>
      <c r="BD19" s="17">
        <v>121</v>
      </c>
      <c r="BE19" s="21">
        <v>3.46</v>
      </c>
      <c r="BF19" s="17">
        <v>88</v>
      </c>
      <c r="BH19" s="17">
        <v>1204</v>
      </c>
      <c r="BI19" s="17">
        <v>5164</v>
      </c>
      <c r="BJ19" s="17">
        <v>120</v>
      </c>
      <c r="BK19" s="18"/>
      <c r="BL19" s="18"/>
      <c r="BM19" s="18">
        <v>7.38</v>
      </c>
      <c r="BO19" s="17">
        <v>67</v>
      </c>
      <c r="BP19" s="21">
        <v>25</v>
      </c>
      <c r="BR19" s="18"/>
      <c r="BT19" s="18">
        <v>0.9</v>
      </c>
      <c r="BU19" s="20">
        <v>9</v>
      </c>
      <c r="BV19" s="22">
        <v>9.9481411429015392</v>
      </c>
      <c r="BW19" s="18">
        <f t="shared" si="4"/>
        <v>1</v>
      </c>
      <c r="BX19" s="18">
        <f t="shared" si="5"/>
        <v>0</v>
      </c>
      <c r="BY19" s="18">
        <f t="shared" si="6"/>
        <v>0</v>
      </c>
      <c r="BZ19" s="18">
        <f t="shared" si="7"/>
        <v>1</v>
      </c>
      <c r="CA19" s="22">
        <v>0</v>
      </c>
      <c r="CB19" s="22">
        <v>1</v>
      </c>
      <c r="CC19" s="22">
        <v>0</v>
      </c>
      <c r="CD19" s="22">
        <v>0</v>
      </c>
      <c r="CE19" s="22">
        <v>0</v>
      </c>
      <c r="CF19" s="22">
        <f t="shared" si="8"/>
        <v>1</v>
      </c>
      <c r="CG19" s="22">
        <v>0</v>
      </c>
      <c r="CH19" s="22">
        <v>2</v>
      </c>
      <c r="CI19" s="23">
        <v>0</v>
      </c>
      <c r="CJ19" s="23">
        <v>1</v>
      </c>
      <c r="CK19" s="23">
        <v>0</v>
      </c>
      <c r="CL19" s="23">
        <v>0</v>
      </c>
      <c r="CM19" s="23">
        <v>5</v>
      </c>
      <c r="CN19" s="23" t="s">
        <v>219</v>
      </c>
      <c r="CO19" s="18" t="s">
        <v>441</v>
      </c>
      <c r="CP19" s="18" t="s">
        <v>235</v>
      </c>
      <c r="CQ19" s="18">
        <v>180</v>
      </c>
      <c r="CR19" s="18">
        <v>1200</v>
      </c>
      <c r="CS19" s="18" t="s">
        <v>236</v>
      </c>
      <c r="CT19" s="18" t="s">
        <v>207</v>
      </c>
      <c r="CU19" s="17">
        <f>BI19</f>
        <v>5164</v>
      </c>
      <c r="CV19" s="18" t="s">
        <v>209</v>
      </c>
      <c r="CW19" s="17">
        <v>2600</v>
      </c>
      <c r="CX19" s="21">
        <v>1</v>
      </c>
      <c r="CY19" s="17">
        <v>2650</v>
      </c>
      <c r="CZ19" s="17">
        <v>2600</v>
      </c>
      <c r="DA19" s="17">
        <v>650</v>
      </c>
      <c r="DB19" s="17">
        <v>1</v>
      </c>
      <c r="DC19" s="17">
        <v>0</v>
      </c>
      <c r="DD19" s="17">
        <v>3</v>
      </c>
      <c r="DE19" s="17">
        <v>80</v>
      </c>
      <c r="DF19" s="17">
        <v>17</v>
      </c>
      <c r="DG19" s="21">
        <v>9</v>
      </c>
      <c r="DH19" s="18">
        <v>4.3</v>
      </c>
      <c r="DI19" s="18">
        <v>128</v>
      </c>
      <c r="DJ19" s="18">
        <v>37.799999999999997</v>
      </c>
      <c r="DK19" s="17">
        <v>122</v>
      </c>
      <c r="DL19" s="21">
        <v>25</v>
      </c>
      <c r="DM19" s="21">
        <v>38</v>
      </c>
      <c r="DN19" s="18"/>
      <c r="DO19" s="18"/>
      <c r="DP19" s="21">
        <v>22</v>
      </c>
      <c r="DQ19" s="18">
        <v>0.43</v>
      </c>
      <c r="DR19" s="18">
        <v>126</v>
      </c>
      <c r="DU19" s="10">
        <v>46</v>
      </c>
      <c r="DV19" s="10">
        <v>33</v>
      </c>
      <c r="DY19" s="18">
        <v>128</v>
      </c>
      <c r="DZ19" s="18">
        <v>3.35</v>
      </c>
      <c r="EA19" s="18">
        <v>102</v>
      </c>
      <c r="EB19" s="18"/>
      <c r="EC19" s="18">
        <v>134.1</v>
      </c>
      <c r="ED19" s="17">
        <v>872</v>
      </c>
      <c r="EE19" s="18">
        <v>7.39</v>
      </c>
      <c r="EF19" s="18">
        <v>36</v>
      </c>
      <c r="EG19" s="18">
        <v>78</v>
      </c>
      <c r="EH19" s="18">
        <v>28</v>
      </c>
      <c r="EI19" s="18">
        <f>EG19/0.21</f>
        <v>371.42857142857144</v>
      </c>
      <c r="EJ19" s="18">
        <f t="shared" si="19"/>
        <v>0.21</v>
      </c>
      <c r="EK19" s="10">
        <v>1.75</v>
      </c>
      <c r="EL19" s="18"/>
      <c r="EM19" s="18">
        <v>14</v>
      </c>
      <c r="EN19" s="22">
        <v>6</v>
      </c>
      <c r="EO19" s="22">
        <v>6.6545891108010107</v>
      </c>
      <c r="EP19" s="18">
        <f t="shared" si="9"/>
        <v>0</v>
      </c>
      <c r="EQ19" s="18">
        <f t="shared" si="10"/>
        <v>0</v>
      </c>
      <c r="ER19" s="18">
        <f t="shared" si="11"/>
        <v>0</v>
      </c>
      <c r="ES19" s="18">
        <f t="shared" si="12"/>
        <v>0</v>
      </c>
      <c r="ET19" s="22">
        <v>0</v>
      </c>
      <c r="EU19" s="22">
        <v>0</v>
      </c>
      <c r="EV19" s="22">
        <v>0</v>
      </c>
      <c r="EW19" s="22">
        <v>0</v>
      </c>
      <c r="EX19" s="22">
        <v>0</v>
      </c>
      <c r="EY19" s="22">
        <f t="shared" si="13"/>
        <v>0</v>
      </c>
      <c r="EZ19" s="22">
        <v>0</v>
      </c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7">
        <v>872</v>
      </c>
      <c r="FT19" s="18"/>
      <c r="FU19" s="18"/>
      <c r="FV19" s="18"/>
      <c r="FW19" s="18"/>
      <c r="FX19" s="18"/>
      <c r="FY19" s="18"/>
      <c r="FZ19" s="18"/>
      <c r="GA19" s="18"/>
      <c r="GB19" s="22">
        <v>0</v>
      </c>
      <c r="GC19" s="22">
        <v>6</v>
      </c>
      <c r="GD19" s="22">
        <v>0</v>
      </c>
      <c r="GE19" s="18"/>
      <c r="GF19" s="18">
        <f t="shared" si="14"/>
        <v>0.83113865220759098</v>
      </c>
      <c r="GG19" s="17">
        <f t="shared" si="20"/>
        <v>4292</v>
      </c>
      <c r="GH19" s="17">
        <f t="shared" si="16"/>
        <v>1</v>
      </c>
      <c r="GI19" s="17">
        <f t="shared" si="17"/>
        <v>3</v>
      </c>
    </row>
    <row r="20" spans="1:193" ht="18" customHeight="1" x14ac:dyDescent="0.45">
      <c r="A20" s="14">
        <v>18</v>
      </c>
      <c r="B20" s="35" t="s">
        <v>402</v>
      </c>
      <c r="C20" s="15" t="s">
        <v>403</v>
      </c>
      <c r="D20" s="16">
        <v>0</v>
      </c>
      <c r="E20" s="17">
        <v>1984</v>
      </c>
      <c r="F20" s="17">
        <f t="shared" si="0"/>
        <v>39</v>
      </c>
      <c r="G20" s="18" t="s">
        <v>200</v>
      </c>
      <c r="H20" s="18" t="s">
        <v>212</v>
      </c>
      <c r="I20" s="17">
        <v>0</v>
      </c>
      <c r="J20" s="18">
        <f t="shared" si="1"/>
        <v>3.2160000000000002</v>
      </c>
      <c r="K20" s="17">
        <v>67</v>
      </c>
      <c r="L20" s="17">
        <v>167</v>
      </c>
      <c r="M20" s="18">
        <f t="shared" si="2"/>
        <v>24.023808670084982</v>
      </c>
      <c r="N20" s="17">
        <v>0</v>
      </c>
      <c r="O20" s="17">
        <v>0</v>
      </c>
      <c r="P20" s="17">
        <v>1</v>
      </c>
      <c r="Q20" s="17">
        <v>0</v>
      </c>
      <c r="R20" s="17">
        <v>0</v>
      </c>
      <c r="S20" s="17">
        <v>0</v>
      </c>
      <c r="T20" s="17">
        <v>1</v>
      </c>
      <c r="U20" s="17">
        <v>1</v>
      </c>
      <c r="V20" s="19">
        <v>43527</v>
      </c>
      <c r="W20" s="17">
        <v>48</v>
      </c>
      <c r="X20" s="20">
        <v>8</v>
      </c>
      <c r="Y20" s="17">
        <v>1</v>
      </c>
      <c r="Z20" s="17">
        <v>5</v>
      </c>
      <c r="AA20" s="17">
        <v>110</v>
      </c>
      <c r="AB20" s="17">
        <v>110</v>
      </c>
      <c r="AC20" s="17">
        <v>50</v>
      </c>
      <c r="AD20" s="18">
        <f t="shared" si="3"/>
        <v>70</v>
      </c>
      <c r="AE20" s="18">
        <v>20</v>
      </c>
      <c r="AF20" s="17">
        <v>37</v>
      </c>
      <c r="AG20" s="17">
        <v>1</v>
      </c>
      <c r="AH20" s="17">
        <v>1</v>
      </c>
      <c r="AI20" s="17">
        <v>0</v>
      </c>
      <c r="AJ20" s="17">
        <v>14</v>
      </c>
      <c r="AK20" s="18">
        <v>10</v>
      </c>
      <c r="AL20" s="18">
        <v>5.8</v>
      </c>
      <c r="AM20" s="18">
        <v>180</v>
      </c>
      <c r="AN20" s="18">
        <v>51</v>
      </c>
      <c r="AO20" s="18">
        <v>279</v>
      </c>
      <c r="AP20" s="18">
        <v>15</v>
      </c>
      <c r="AQ20" s="18">
        <v>33</v>
      </c>
      <c r="AR20" s="18">
        <v>9</v>
      </c>
      <c r="AT20" s="18"/>
      <c r="AV20" s="10">
        <v>38</v>
      </c>
      <c r="AW20" s="10">
        <v>28</v>
      </c>
      <c r="AX20" s="17">
        <v>23</v>
      </c>
      <c r="AY20" s="18">
        <v>1.4</v>
      </c>
      <c r="AZ20" s="10">
        <v>40</v>
      </c>
      <c r="BA20" s="5">
        <v>1.04</v>
      </c>
      <c r="BB20" s="5">
        <v>0.17</v>
      </c>
      <c r="BC20" s="21">
        <v>64</v>
      </c>
      <c r="BD20" s="17">
        <v>131</v>
      </c>
      <c r="BE20" s="21">
        <v>3.8</v>
      </c>
      <c r="BF20" s="17">
        <v>99</v>
      </c>
      <c r="BG20" s="17">
        <v>860</v>
      </c>
      <c r="BH20" s="17">
        <v>1179</v>
      </c>
      <c r="BI20" s="17">
        <v>4680</v>
      </c>
      <c r="BJ20" s="17">
        <v>143</v>
      </c>
      <c r="BK20" s="18"/>
      <c r="BL20" s="18"/>
      <c r="BM20" s="18">
        <v>7.36</v>
      </c>
      <c r="BN20" s="17">
        <v>28</v>
      </c>
      <c r="BO20" s="17">
        <v>100</v>
      </c>
      <c r="BP20" s="21">
        <v>16</v>
      </c>
      <c r="BQ20" s="21">
        <v>400</v>
      </c>
      <c r="BR20" s="18"/>
      <c r="BU20" s="20">
        <v>8</v>
      </c>
      <c r="BV20" s="22">
        <v>8.7145290593121416</v>
      </c>
      <c r="BW20" s="18">
        <f t="shared" si="4"/>
        <v>1</v>
      </c>
      <c r="BX20" s="18">
        <f t="shared" si="5"/>
        <v>0</v>
      </c>
      <c r="BY20" s="18">
        <f t="shared" si="6"/>
        <v>0</v>
      </c>
      <c r="BZ20" s="18">
        <f t="shared" si="7"/>
        <v>1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f t="shared" si="8"/>
        <v>0</v>
      </c>
      <c r="CG20" s="22">
        <v>0</v>
      </c>
      <c r="CH20" s="22">
        <v>2</v>
      </c>
      <c r="CI20" s="23">
        <v>0</v>
      </c>
      <c r="CJ20" s="23">
        <v>0</v>
      </c>
      <c r="CK20" s="23">
        <v>0</v>
      </c>
      <c r="CL20" s="23">
        <v>0</v>
      </c>
      <c r="CM20" s="23">
        <v>4</v>
      </c>
      <c r="CN20" s="23" t="s">
        <v>203</v>
      </c>
      <c r="CO20" s="18" t="s">
        <v>346</v>
      </c>
      <c r="CP20" s="18" t="s">
        <v>205</v>
      </c>
      <c r="CQ20" s="18">
        <v>150</v>
      </c>
      <c r="CR20" s="18">
        <v>1500</v>
      </c>
      <c r="CS20" s="18" t="s">
        <v>206</v>
      </c>
      <c r="CT20" s="18" t="s">
        <v>207</v>
      </c>
      <c r="CU20" s="17">
        <f>BI20</f>
        <v>4680</v>
      </c>
      <c r="CV20" s="18" t="s">
        <v>209</v>
      </c>
      <c r="CW20" s="17">
        <v>2000</v>
      </c>
      <c r="CX20" s="21">
        <v>1.5</v>
      </c>
      <c r="CY20" s="17">
        <v>3000</v>
      </c>
      <c r="CZ20" s="17">
        <v>1500</v>
      </c>
      <c r="DA20" s="17">
        <v>0</v>
      </c>
      <c r="DB20" s="17">
        <v>1</v>
      </c>
      <c r="DC20" s="17">
        <v>1</v>
      </c>
      <c r="DD20" s="17">
        <v>3</v>
      </c>
      <c r="DE20" s="17">
        <v>100</v>
      </c>
      <c r="DF20" s="17">
        <v>18</v>
      </c>
      <c r="DG20" s="21">
        <v>8.6</v>
      </c>
      <c r="DH20" s="18">
        <v>3.5</v>
      </c>
      <c r="DI20" s="18">
        <v>102</v>
      </c>
      <c r="DJ20" s="18">
        <v>30</v>
      </c>
      <c r="DK20" s="17">
        <v>145</v>
      </c>
      <c r="DL20" s="21">
        <v>13</v>
      </c>
      <c r="DM20" s="21">
        <v>35</v>
      </c>
      <c r="DN20" s="18"/>
      <c r="DO20" s="18">
        <v>5.5</v>
      </c>
      <c r="DP20" s="21">
        <v>8</v>
      </c>
      <c r="DQ20" s="18">
        <v>0.56000000000000005</v>
      </c>
      <c r="DR20" s="18">
        <v>134</v>
      </c>
      <c r="DS20" s="10">
        <v>41.7</v>
      </c>
      <c r="DU20" s="10">
        <v>38</v>
      </c>
      <c r="DV20" s="10">
        <v>24</v>
      </c>
      <c r="DW20" s="10">
        <v>1.67</v>
      </c>
      <c r="DX20" s="10">
        <v>0.47</v>
      </c>
      <c r="DY20" s="18">
        <v>134</v>
      </c>
      <c r="DZ20" s="18">
        <v>2.7</v>
      </c>
      <c r="EA20" s="18">
        <v>100</v>
      </c>
      <c r="EB20" s="18"/>
      <c r="EC20" s="18"/>
      <c r="ED20" s="17">
        <v>457</v>
      </c>
      <c r="EE20" s="18">
        <v>7.5</v>
      </c>
      <c r="EF20" s="18">
        <v>32</v>
      </c>
      <c r="EG20" s="18">
        <v>72</v>
      </c>
      <c r="EH20" s="18">
        <v>26</v>
      </c>
      <c r="EI20" s="18">
        <v>348</v>
      </c>
      <c r="EJ20" s="18">
        <f t="shared" si="19"/>
        <v>0.20689655172413793</v>
      </c>
      <c r="EK20" s="10">
        <v>1.89</v>
      </c>
      <c r="EL20" s="18">
        <v>1.3</v>
      </c>
      <c r="EM20" s="18">
        <v>15</v>
      </c>
      <c r="EN20" s="22">
        <v>7</v>
      </c>
      <c r="EO20" s="22">
        <v>7.620944279833977</v>
      </c>
      <c r="EP20" s="18">
        <f t="shared" si="9"/>
        <v>1</v>
      </c>
      <c r="EQ20" s="18">
        <f t="shared" si="10"/>
        <v>0</v>
      </c>
      <c r="ER20" s="18">
        <f t="shared" si="11"/>
        <v>0</v>
      </c>
      <c r="ES20" s="18">
        <f t="shared" si="12"/>
        <v>1</v>
      </c>
      <c r="ET20" s="22">
        <v>0</v>
      </c>
      <c r="EU20" s="22">
        <v>0</v>
      </c>
      <c r="EV20" s="22">
        <v>0</v>
      </c>
      <c r="EW20" s="22">
        <v>0</v>
      </c>
      <c r="EX20" s="22">
        <v>0</v>
      </c>
      <c r="EY20" s="22">
        <f t="shared" si="13"/>
        <v>0</v>
      </c>
      <c r="EZ20" s="22">
        <v>1</v>
      </c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7">
        <v>457</v>
      </c>
      <c r="FT20" s="18"/>
      <c r="FU20" s="18"/>
      <c r="FV20" s="18"/>
      <c r="FW20" s="18"/>
      <c r="FX20" s="18"/>
      <c r="FY20" s="18"/>
      <c r="FZ20" s="18"/>
      <c r="GA20" s="18"/>
      <c r="GB20" s="22">
        <v>1</v>
      </c>
      <c r="GC20" s="22">
        <v>7</v>
      </c>
      <c r="GD20" s="22">
        <v>0</v>
      </c>
      <c r="GE20" s="18"/>
      <c r="GF20" s="18">
        <f t="shared" si="14"/>
        <v>0.90235042735042736</v>
      </c>
      <c r="GG20" s="17">
        <f t="shared" si="20"/>
        <v>4223</v>
      </c>
      <c r="GH20" s="17">
        <f t="shared" si="16"/>
        <v>0</v>
      </c>
      <c r="GI20" s="17">
        <f t="shared" si="17"/>
        <v>1</v>
      </c>
    </row>
    <row r="21" spans="1:193" ht="18" customHeight="1" x14ac:dyDescent="0.45">
      <c r="A21" s="14">
        <v>19</v>
      </c>
      <c r="B21" s="35" t="s">
        <v>43</v>
      </c>
      <c r="C21" s="15" t="s">
        <v>44</v>
      </c>
      <c r="D21" s="16">
        <v>0</v>
      </c>
      <c r="E21" s="17">
        <v>1983</v>
      </c>
      <c r="F21" s="17">
        <f t="shared" si="0"/>
        <v>40</v>
      </c>
      <c r="G21" s="18" t="s">
        <v>211</v>
      </c>
      <c r="H21" s="18" t="s">
        <v>234</v>
      </c>
      <c r="I21" s="17">
        <v>0</v>
      </c>
      <c r="J21" s="18">
        <f t="shared" si="1"/>
        <v>3.6</v>
      </c>
      <c r="K21" s="17">
        <v>75</v>
      </c>
      <c r="L21" s="17">
        <v>165</v>
      </c>
      <c r="M21" s="18">
        <f t="shared" si="2"/>
        <v>27.548209366391188</v>
      </c>
      <c r="N21" s="17">
        <v>0</v>
      </c>
      <c r="O21" s="17">
        <v>0</v>
      </c>
      <c r="P21" s="17">
        <v>1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9" t="s">
        <v>330</v>
      </c>
      <c r="W21" s="17">
        <v>24</v>
      </c>
      <c r="X21" s="20">
        <v>18</v>
      </c>
      <c r="Y21" s="17">
        <v>1</v>
      </c>
      <c r="Z21" s="17">
        <v>14</v>
      </c>
      <c r="AA21" s="17">
        <v>122</v>
      </c>
      <c r="AB21" s="17">
        <v>130</v>
      </c>
      <c r="AC21" s="17">
        <v>80</v>
      </c>
      <c r="AD21" s="18">
        <f t="shared" si="3"/>
        <v>96.666666666666657</v>
      </c>
      <c r="AE21" s="18">
        <v>20</v>
      </c>
      <c r="AF21" s="17">
        <v>37</v>
      </c>
      <c r="AG21" s="17">
        <v>1</v>
      </c>
      <c r="AH21" s="17">
        <v>0</v>
      </c>
      <c r="AI21" s="17">
        <v>0</v>
      </c>
      <c r="AJ21" s="17">
        <v>13</v>
      </c>
      <c r="AK21" s="18">
        <v>7</v>
      </c>
      <c r="AL21" s="18">
        <v>4.8</v>
      </c>
      <c r="AM21" s="18">
        <v>161</v>
      </c>
      <c r="AN21" s="18">
        <v>44</v>
      </c>
      <c r="AO21" s="18">
        <v>99</v>
      </c>
      <c r="AP21" s="18">
        <v>13</v>
      </c>
      <c r="AQ21" s="18">
        <v>32</v>
      </c>
      <c r="AR21" s="18"/>
      <c r="AS21" s="21">
        <v>144</v>
      </c>
      <c r="AT21" s="18"/>
      <c r="AV21" s="10">
        <v>40</v>
      </c>
      <c r="AW21" s="10">
        <v>11.26</v>
      </c>
      <c r="AX21" s="17">
        <v>29</v>
      </c>
      <c r="AY21" s="18">
        <v>2.8</v>
      </c>
      <c r="AZ21" s="10">
        <v>38.700000000000003</v>
      </c>
      <c r="BA21" s="5">
        <v>0.81</v>
      </c>
      <c r="BB21" s="5">
        <v>0.16</v>
      </c>
      <c r="BC21" s="21">
        <v>25</v>
      </c>
      <c r="BD21" s="17">
        <v>109</v>
      </c>
      <c r="BE21" s="21">
        <v>3.5</v>
      </c>
      <c r="BF21" s="17">
        <v>76</v>
      </c>
      <c r="BG21" s="17">
        <v>656</v>
      </c>
      <c r="BH21" s="17">
        <v>3165</v>
      </c>
      <c r="BI21" s="17">
        <v>8864</v>
      </c>
      <c r="BJ21" s="17">
        <v>452</v>
      </c>
      <c r="BK21" s="18">
        <v>11.4</v>
      </c>
      <c r="BL21" s="18">
        <v>3.9</v>
      </c>
      <c r="BM21" s="18">
        <v>7.32</v>
      </c>
      <c r="BN21" s="17">
        <v>33</v>
      </c>
      <c r="BO21" s="17">
        <v>71</v>
      </c>
      <c r="BP21" s="21">
        <v>18</v>
      </c>
      <c r="BQ21" s="21">
        <v>400</v>
      </c>
      <c r="BR21" s="18"/>
      <c r="BS21" s="10">
        <v>1.92</v>
      </c>
      <c r="BU21" s="20">
        <v>18</v>
      </c>
      <c r="BV21" s="22">
        <v>29.131623542908642</v>
      </c>
      <c r="BW21" s="18">
        <f t="shared" si="4"/>
        <v>1</v>
      </c>
      <c r="BX21" s="18">
        <f t="shared" si="5"/>
        <v>0</v>
      </c>
      <c r="BY21" s="18">
        <f t="shared" si="6"/>
        <v>1</v>
      </c>
      <c r="BZ21" s="18">
        <f t="shared" si="7"/>
        <v>2</v>
      </c>
      <c r="CA21" s="22">
        <v>1</v>
      </c>
      <c r="CB21" s="22">
        <v>0</v>
      </c>
      <c r="CC21" s="22">
        <v>0</v>
      </c>
      <c r="CD21" s="22">
        <v>0</v>
      </c>
      <c r="CE21" s="22">
        <v>0</v>
      </c>
      <c r="CF21" s="22">
        <f t="shared" si="8"/>
        <v>1</v>
      </c>
      <c r="CG21" s="22">
        <v>1</v>
      </c>
      <c r="CH21" s="22">
        <v>5</v>
      </c>
      <c r="CI21" s="23">
        <v>0</v>
      </c>
      <c r="CJ21" s="23">
        <v>0</v>
      </c>
      <c r="CK21" s="23">
        <v>0</v>
      </c>
      <c r="CL21" s="23">
        <v>0</v>
      </c>
      <c r="CM21" s="23">
        <v>4</v>
      </c>
      <c r="CN21" s="23" t="s">
        <v>219</v>
      </c>
      <c r="CO21" s="18" t="s">
        <v>331</v>
      </c>
      <c r="CP21" s="18" t="s">
        <v>235</v>
      </c>
      <c r="CQ21" s="18">
        <v>150</v>
      </c>
      <c r="CR21" s="18">
        <v>1000</v>
      </c>
      <c r="CS21" s="18" t="s">
        <v>236</v>
      </c>
      <c r="CT21" s="18" t="s">
        <v>207</v>
      </c>
      <c r="CU21" s="17">
        <v>8864</v>
      </c>
      <c r="CV21" s="18" t="s">
        <v>209</v>
      </c>
      <c r="CW21" s="17">
        <v>2900</v>
      </c>
      <c r="CX21" s="21">
        <v>1</v>
      </c>
      <c r="CY21" s="17">
        <v>2900</v>
      </c>
      <c r="CZ21" s="17">
        <v>2500</v>
      </c>
      <c r="DA21" s="17">
        <v>750</v>
      </c>
      <c r="DB21" s="17">
        <v>1</v>
      </c>
      <c r="DC21" s="17">
        <v>0</v>
      </c>
      <c r="DD21" s="17">
        <v>3</v>
      </c>
      <c r="DE21" s="17">
        <v>112</v>
      </c>
      <c r="DF21" s="17">
        <v>16</v>
      </c>
      <c r="DG21" s="21">
        <v>4.9000000000000004</v>
      </c>
      <c r="DH21" s="18">
        <v>4.59</v>
      </c>
      <c r="DI21" s="18">
        <v>152</v>
      </c>
      <c r="DJ21" s="18">
        <v>42</v>
      </c>
      <c r="DK21" s="17">
        <v>92</v>
      </c>
      <c r="DL21" s="21">
        <v>21</v>
      </c>
      <c r="DM21" s="21">
        <v>47</v>
      </c>
      <c r="DN21" s="18"/>
      <c r="DO21" s="18"/>
      <c r="DP21" s="21">
        <v>31</v>
      </c>
      <c r="DQ21" s="18">
        <v>2.48</v>
      </c>
      <c r="DR21" s="18">
        <v>29</v>
      </c>
      <c r="DY21" s="18">
        <v>118</v>
      </c>
      <c r="DZ21" s="18">
        <v>3.6</v>
      </c>
      <c r="EA21" s="18">
        <v>84</v>
      </c>
      <c r="EB21" s="18"/>
      <c r="EC21" s="18">
        <v>1114</v>
      </c>
      <c r="ED21" s="17">
        <v>2243</v>
      </c>
      <c r="EE21" s="18">
        <v>7.35</v>
      </c>
      <c r="EF21" s="18">
        <v>32</v>
      </c>
      <c r="EG21" s="18">
        <v>78</v>
      </c>
      <c r="EH21" s="18">
        <v>19</v>
      </c>
      <c r="EI21" s="18">
        <f>EG21/0.21</f>
        <v>371.42857142857144</v>
      </c>
      <c r="EJ21" s="18">
        <f t="shared" si="19"/>
        <v>0.21</v>
      </c>
      <c r="EK21" s="10">
        <v>1.94</v>
      </c>
      <c r="EL21" s="18"/>
      <c r="EM21" s="18">
        <v>14</v>
      </c>
      <c r="EN21" s="22">
        <v>14</v>
      </c>
      <c r="EO21" s="22">
        <v>18.648705693704155</v>
      </c>
      <c r="EP21" s="18">
        <f t="shared" si="9"/>
        <v>1</v>
      </c>
      <c r="EQ21" s="18">
        <f t="shared" si="10"/>
        <v>0</v>
      </c>
      <c r="ER21" s="18">
        <f t="shared" si="11"/>
        <v>1</v>
      </c>
      <c r="ES21" s="18">
        <f t="shared" si="12"/>
        <v>2</v>
      </c>
      <c r="ET21" s="22">
        <v>1</v>
      </c>
      <c r="EU21" s="22">
        <v>0</v>
      </c>
      <c r="EV21" s="22">
        <v>0</v>
      </c>
      <c r="EW21" s="22">
        <v>0</v>
      </c>
      <c r="EX21" s="22">
        <v>0</v>
      </c>
      <c r="EY21" s="22">
        <f t="shared" si="13"/>
        <v>1</v>
      </c>
      <c r="EZ21" s="22">
        <v>4</v>
      </c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7">
        <v>2243</v>
      </c>
      <c r="FT21" s="18"/>
      <c r="FU21" s="18"/>
      <c r="FV21" s="18"/>
      <c r="FW21" s="18"/>
      <c r="FX21" s="18"/>
      <c r="FY21" s="18"/>
      <c r="FZ21" s="18"/>
      <c r="GA21" s="18"/>
      <c r="GB21" s="22">
        <v>4</v>
      </c>
      <c r="GC21" s="22">
        <v>14</v>
      </c>
      <c r="GD21" s="22">
        <v>0</v>
      </c>
      <c r="GE21" s="18"/>
      <c r="GF21" s="18">
        <f t="shared" si="14"/>
        <v>0.74695397111913353</v>
      </c>
      <c r="GG21" s="17">
        <f t="shared" si="20"/>
        <v>6621</v>
      </c>
      <c r="GH21" s="17">
        <f t="shared" si="16"/>
        <v>0</v>
      </c>
      <c r="GI21" s="17">
        <f t="shared" si="17"/>
        <v>4</v>
      </c>
    </row>
    <row r="22" spans="1:193" ht="18" customHeight="1" x14ac:dyDescent="0.45">
      <c r="A22" s="14">
        <v>20</v>
      </c>
      <c r="B22" s="35" t="s">
        <v>400</v>
      </c>
      <c r="C22" s="15" t="s">
        <v>401</v>
      </c>
      <c r="D22" s="16">
        <v>0</v>
      </c>
      <c r="E22" s="17">
        <v>1981</v>
      </c>
      <c r="F22" s="17">
        <f t="shared" si="0"/>
        <v>42</v>
      </c>
      <c r="G22" s="18" t="s">
        <v>211</v>
      </c>
      <c r="H22" s="18" t="s">
        <v>293</v>
      </c>
      <c r="I22" s="17">
        <v>0</v>
      </c>
      <c r="J22" s="18">
        <f t="shared" si="1"/>
        <v>3.36</v>
      </c>
      <c r="K22" s="17">
        <v>70</v>
      </c>
      <c r="L22" s="17">
        <v>171</v>
      </c>
      <c r="M22" s="18">
        <f t="shared" si="2"/>
        <v>23.938989774631512</v>
      </c>
      <c r="N22" s="17">
        <v>0</v>
      </c>
      <c r="O22" s="17">
        <v>1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9" t="s">
        <v>343</v>
      </c>
      <c r="W22" s="17">
        <v>72</v>
      </c>
      <c r="X22" s="20">
        <v>25</v>
      </c>
      <c r="Y22" s="17">
        <v>1</v>
      </c>
      <c r="Z22" s="17">
        <v>5</v>
      </c>
      <c r="AA22" s="17">
        <v>141</v>
      </c>
      <c r="AB22" s="17">
        <v>100</v>
      </c>
      <c r="AC22" s="17">
        <v>60</v>
      </c>
      <c r="AD22" s="18">
        <f t="shared" si="3"/>
        <v>73.333333333333329</v>
      </c>
      <c r="AE22" s="18">
        <v>29</v>
      </c>
      <c r="AF22" s="17">
        <v>36</v>
      </c>
      <c r="AG22" s="17">
        <v>1</v>
      </c>
      <c r="AH22" s="17">
        <v>1</v>
      </c>
      <c r="AI22" s="17">
        <v>0</v>
      </c>
      <c r="AJ22" s="17">
        <v>9</v>
      </c>
      <c r="AK22" s="18">
        <v>10</v>
      </c>
      <c r="AL22" s="18">
        <v>4.7</v>
      </c>
      <c r="AM22" s="18">
        <v>164</v>
      </c>
      <c r="AN22" s="18">
        <v>49</v>
      </c>
      <c r="AO22" s="18">
        <v>345</v>
      </c>
      <c r="AP22" s="18">
        <v>17</v>
      </c>
      <c r="AQ22" s="18">
        <v>34</v>
      </c>
      <c r="AR22" s="18">
        <v>11</v>
      </c>
      <c r="AT22" s="18"/>
      <c r="AU22" s="10">
        <v>118.45</v>
      </c>
      <c r="AV22" s="10">
        <v>8</v>
      </c>
      <c r="AW22" s="10">
        <v>11</v>
      </c>
      <c r="AX22" s="17">
        <v>38</v>
      </c>
      <c r="AY22" s="18">
        <v>2.1</v>
      </c>
      <c r="AZ22" s="10">
        <v>49.1</v>
      </c>
      <c r="BA22" s="5">
        <v>0.4</v>
      </c>
      <c r="BB22" s="5">
        <v>0.2</v>
      </c>
      <c r="BC22" s="21">
        <v>39</v>
      </c>
      <c r="BD22" s="17">
        <v>137</v>
      </c>
      <c r="BE22" s="21">
        <v>4.9000000000000004</v>
      </c>
      <c r="BF22" s="17">
        <v>104</v>
      </c>
      <c r="BG22" s="17">
        <v>750</v>
      </c>
      <c r="BI22" s="17">
        <v>2460</v>
      </c>
      <c r="BJ22" s="17">
        <v>572</v>
      </c>
      <c r="BK22" s="18">
        <v>10.199999999999999</v>
      </c>
      <c r="BL22" s="18"/>
      <c r="BM22" s="18">
        <v>7.06</v>
      </c>
      <c r="BN22" s="17">
        <v>10</v>
      </c>
      <c r="BO22" s="17">
        <v>113</v>
      </c>
      <c r="BP22" s="21">
        <v>3</v>
      </c>
      <c r="BQ22" s="21">
        <v>400</v>
      </c>
      <c r="BR22" s="18"/>
      <c r="BU22" s="20">
        <v>25</v>
      </c>
      <c r="BV22" s="22">
        <v>53.320107327383035</v>
      </c>
      <c r="BW22" s="18">
        <f t="shared" si="4"/>
        <v>1</v>
      </c>
      <c r="BX22" s="18">
        <f t="shared" si="5"/>
        <v>1</v>
      </c>
      <c r="BY22" s="18">
        <f t="shared" si="6"/>
        <v>1</v>
      </c>
      <c r="BZ22" s="18">
        <f t="shared" si="7"/>
        <v>3</v>
      </c>
      <c r="CA22" s="22">
        <v>1</v>
      </c>
      <c r="CB22" s="22">
        <v>1</v>
      </c>
      <c r="CC22" s="22">
        <v>1</v>
      </c>
      <c r="CD22" s="22">
        <v>0</v>
      </c>
      <c r="CE22" s="22">
        <v>0</v>
      </c>
      <c r="CF22" s="22">
        <f t="shared" si="8"/>
        <v>3</v>
      </c>
      <c r="CG22" s="22">
        <v>1</v>
      </c>
      <c r="CH22" s="22">
        <v>5</v>
      </c>
      <c r="CI22" s="23">
        <v>0</v>
      </c>
      <c r="CJ22" s="23">
        <v>0</v>
      </c>
      <c r="CK22" s="23">
        <v>0</v>
      </c>
      <c r="CL22" s="23">
        <v>0</v>
      </c>
      <c r="CM22" s="23">
        <v>4</v>
      </c>
      <c r="CN22" s="23" t="s">
        <v>203</v>
      </c>
      <c r="CO22" s="18" t="s">
        <v>344</v>
      </c>
      <c r="CP22" s="18" t="s">
        <v>205</v>
      </c>
      <c r="CQ22" s="18">
        <v>200</v>
      </c>
      <c r="CR22" s="18">
        <v>1500</v>
      </c>
      <c r="CS22" s="18" t="s">
        <v>206</v>
      </c>
      <c r="CT22" s="18" t="s">
        <v>207</v>
      </c>
      <c r="CU22" s="17">
        <f>BI22</f>
        <v>2460</v>
      </c>
      <c r="CV22" s="18" t="s">
        <v>209</v>
      </c>
      <c r="CW22" s="17">
        <v>4000</v>
      </c>
      <c r="CX22" s="21">
        <v>1.5</v>
      </c>
      <c r="CY22" s="17">
        <v>6000</v>
      </c>
      <c r="DB22" s="17">
        <v>1</v>
      </c>
      <c r="DC22" s="17">
        <v>1</v>
      </c>
      <c r="DD22" s="17">
        <v>3</v>
      </c>
      <c r="DE22" s="17">
        <v>121</v>
      </c>
      <c r="DF22" s="17">
        <v>26</v>
      </c>
      <c r="DG22" s="21">
        <v>6.5</v>
      </c>
      <c r="DH22" s="18">
        <v>3.7</v>
      </c>
      <c r="DI22" s="18">
        <v>125</v>
      </c>
      <c r="DJ22" s="18">
        <v>38</v>
      </c>
      <c r="DK22" s="17">
        <v>187</v>
      </c>
      <c r="DL22" s="21">
        <v>18</v>
      </c>
      <c r="DM22" s="21">
        <v>40</v>
      </c>
      <c r="DN22" s="18"/>
      <c r="DO22" s="18">
        <v>4.5</v>
      </c>
      <c r="DP22" s="21">
        <v>12</v>
      </c>
      <c r="DQ22" s="18">
        <v>0.8</v>
      </c>
      <c r="DR22" s="18">
        <v>112</v>
      </c>
      <c r="DY22" s="18">
        <v>148</v>
      </c>
      <c r="DZ22" s="18">
        <v>3.8</v>
      </c>
      <c r="EA22" s="18">
        <v>117</v>
      </c>
      <c r="EB22" s="18"/>
      <c r="EC22" s="18"/>
      <c r="ED22" s="17">
        <v>411</v>
      </c>
      <c r="EE22" s="18">
        <v>7.48</v>
      </c>
      <c r="EF22" s="18">
        <v>26</v>
      </c>
      <c r="EG22" s="18">
        <v>70</v>
      </c>
      <c r="EH22" s="18">
        <v>20</v>
      </c>
      <c r="EI22" s="18">
        <v>204</v>
      </c>
      <c r="EJ22" s="18">
        <f t="shared" si="19"/>
        <v>0.34313725490196079</v>
      </c>
      <c r="EK22" s="10">
        <v>1.93</v>
      </c>
      <c r="EL22" s="18"/>
      <c r="EM22" s="18">
        <v>14</v>
      </c>
      <c r="EN22" s="22">
        <v>8</v>
      </c>
      <c r="EO22" s="22">
        <v>8.7145290593121416</v>
      </c>
      <c r="EP22" s="18">
        <f t="shared" si="9"/>
        <v>1</v>
      </c>
      <c r="EQ22" s="18">
        <f t="shared" si="10"/>
        <v>1</v>
      </c>
      <c r="ER22" s="18">
        <f t="shared" si="11"/>
        <v>0</v>
      </c>
      <c r="ES22" s="18">
        <f t="shared" si="12"/>
        <v>2</v>
      </c>
      <c r="ET22" s="22">
        <v>0</v>
      </c>
      <c r="EU22" s="22">
        <v>0</v>
      </c>
      <c r="EV22" s="22">
        <v>0</v>
      </c>
      <c r="EW22" s="22">
        <v>0</v>
      </c>
      <c r="EX22" s="22">
        <v>0</v>
      </c>
      <c r="EY22" s="22">
        <f t="shared" si="13"/>
        <v>0</v>
      </c>
      <c r="EZ22" s="22">
        <v>4</v>
      </c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7">
        <v>411</v>
      </c>
      <c r="FT22" s="18"/>
      <c r="FU22" s="18"/>
      <c r="FV22" s="18"/>
      <c r="FW22" s="18"/>
      <c r="FX22" s="18"/>
      <c r="FY22" s="18"/>
      <c r="FZ22" s="18"/>
      <c r="GA22" s="18"/>
      <c r="GB22" s="22">
        <v>4</v>
      </c>
      <c r="GC22" s="22">
        <v>8</v>
      </c>
      <c r="GD22" s="22">
        <v>0</v>
      </c>
      <c r="GE22" s="18"/>
      <c r="GF22" s="18">
        <f t="shared" si="14"/>
        <v>0.83292682926829265</v>
      </c>
      <c r="GG22" s="17">
        <f t="shared" si="20"/>
        <v>2049</v>
      </c>
      <c r="GH22" s="17">
        <f t="shared" si="16"/>
        <v>3</v>
      </c>
      <c r="GI22" s="17">
        <f t="shared" si="17"/>
        <v>17</v>
      </c>
    </row>
    <row r="23" spans="1:193" ht="18" customHeight="1" x14ac:dyDescent="0.45">
      <c r="A23" s="14">
        <v>21</v>
      </c>
      <c r="B23" s="35" t="s">
        <v>373</v>
      </c>
      <c r="C23" s="15" t="s">
        <v>374</v>
      </c>
      <c r="D23" s="16">
        <v>0</v>
      </c>
      <c r="E23" s="17">
        <v>1988</v>
      </c>
      <c r="F23" s="17">
        <f t="shared" si="0"/>
        <v>35</v>
      </c>
      <c r="G23" s="18" t="s">
        <v>200</v>
      </c>
      <c r="H23" s="18" t="s">
        <v>234</v>
      </c>
      <c r="I23" s="17">
        <v>0</v>
      </c>
      <c r="J23" s="18">
        <f t="shared" si="1"/>
        <v>4.08</v>
      </c>
      <c r="K23" s="17">
        <v>85</v>
      </c>
      <c r="L23" s="17">
        <v>170</v>
      </c>
      <c r="M23" s="18">
        <f t="shared" si="2"/>
        <v>29.411764705882355</v>
      </c>
      <c r="N23" s="17">
        <v>1</v>
      </c>
      <c r="O23" s="17">
        <v>1</v>
      </c>
      <c r="P23" s="17">
        <v>0</v>
      </c>
      <c r="Q23" s="17">
        <v>0</v>
      </c>
      <c r="R23" s="17">
        <v>0</v>
      </c>
      <c r="S23" s="17">
        <v>0</v>
      </c>
      <c r="T23" s="17">
        <v>1</v>
      </c>
      <c r="U23" s="17">
        <v>3</v>
      </c>
      <c r="V23" s="19" t="s">
        <v>477</v>
      </c>
      <c r="W23" s="17">
        <v>24</v>
      </c>
      <c r="X23" s="20">
        <v>15</v>
      </c>
      <c r="Y23" s="17">
        <v>1</v>
      </c>
      <c r="Z23" s="17">
        <v>10</v>
      </c>
      <c r="AA23" s="17">
        <v>92</v>
      </c>
      <c r="AB23" s="17">
        <v>150</v>
      </c>
      <c r="AC23" s="17">
        <v>110</v>
      </c>
      <c r="AD23" s="18">
        <f t="shared" si="3"/>
        <v>123.33333333333333</v>
      </c>
      <c r="AE23" s="18">
        <v>18</v>
      </c>
      <c r="AF23" s="17">
        <v>37</v>
      </c>
      <c r="AG23" s="17">
        <v>1</v>
      </c>
      <c r="AH23" s="17">
        <v>0</v>
      </c>
      <c r="AI23" s="17">
        <v>0</v>
      </c>
      <c r="AJ23" s="17">
        <v>14</v>
      </c>
      <c r="AK23" s="18">
        <v>15</v>
      </c>
      <c r="AL23" s="18">
        <v>5.6</v>
      </c>
      <c r="AM23" s="18">
        <v>190</v>
      </c>
      <c r="AN23" s="18">
        <v>46</v>
      </c>
      <c r="AO23" s="18">
        <v>299</v>
      </c>
      <c r="AP23" s="18">
        <v>11</v>
      </c>
      <c r="AQ23" s="18">
        <v>23</v>
      </c>
      <c r="AR23" s="18"/>
      <c r="AS23" s="21">
        <v>133</v>
      </c>
      <c r="AT23" s="18"/>
      <c r="AU23" s="10">
        <v>162.33000000000001</v>
      </c>
      <c r="AV23" s="10">
        <v>37</v>
      </c>
      <c r="AW23" s="10">
        <v>27.3</v>
      </c>
      <c r="AX23" s="17">
        <v>25</v>
      </c>
      <c r="AY23" s="18">
        <v>1.77</v>
      </c>
      <c r="BA23" s="5">
        <v>0.37</v>
      </c>
      <c r="BB23" s="5">
        <v>0.1</v>
      </c>
      <c r="BC23" s="21">
        <v>45</v>
      </c>
      <c r="BD23" s="17">
        <v>126</v>
      </c>
      <c r="BE23" s="21">
        <v>3.8</v>
      </c>
      <c r="BF23" s="17">
        <v>91</v>
      </c>
      <c r="BH23" s="17">
        <v>3289</v>
      </c>
      <c r="BI23" s="17">
        <v>5633</v>
      </c>
      <c r="BJ23" s="17">
        <v>420</v>
      </c>
      <c r="BK23" s="18">
        <v>10.8</v>
      </c>
      <c r="BL23" s="18">
        <v>0.5</v>
      </c>
      <c r="BM23" s="18">
        <v>7.31</v>
      </c>
      <c r="BN23" s="17">
        <v>24</v>
      </c>
      <c r="BO23" s="17">
        <v>86</v>
      </c>
      <c r="BP23" s="21">
        <v>12</v>
      </c>
      <c r="BQ23" s="21">
        <v>410</v>
      </c>
      <c r="BR23" s="18">
        <f>BO23/BQ23</f>
        <v>0.2097560975609756</v>
      </c>
      <c r="BT23" s="18">
        <v>1.9</v>
      </c>
      <c r="BU23" s="20">
        <v>15</v>
      </c>
      <c r="BV23" s="22">
        <v>20.965603336987844</v>
      </c>
      <c r="BW23" s="18">
        <f t="shared" si="4"/>
        <v>1</v>
      </c>
      <c r="BX23" s="18">
        <f t="shared" si="5"/>
        <v>0</v>
      </c>
      <c r="BY23" s="18">
        <f t="shared" si="6"/>
        <v>0</v>
      </c>
      <c r="BZ23" s="18">
        <f t="shared" si="7"/>
        <v>1</v>
      </c>
      <c r="CA23" s="22">
        <v>0</v>
      </c>
      <c r="CB23" s="22">
        <v>0</v>
      </c>
      <c r="CC23" s="22">
        <v>1</v>
      </c>
      <c r="CD23" s="22">
        <v>0</v>
      </c>
      <c r="CE23" s="22">
        <v>0</v>
      </c>
      <c r="CF23" s="22">
        <f t="shared" si="8"/>
        <v>1</v>
      </c>
      <c r="CG23" s="22">
        <v>1</v>
      </c>
      <c r="CH23" s="22">
        <v>2</v>
      </c>
      <c r="CI23" s="23">
        <v>0</v>
      </c>
      <c r="CJ23" s="23">
        <v>0</v>
      </c>
      <c r="CK23" s="23">
        <v>1</v>
      </c>
      <c r="CL23" s="23">
        <v>0</v>
      </c>
      <c r="CM23" s="23">
        <v>6</v>
      </c>
      <c r="CN23" s="23" t="s">
        <v>203</v>
      </c>
      <c r="CO23" s="18" t="s">
        <v>478</v>
      </c>
      <c r="CP23" s="18" t="s">
        <v>235</v>
      </c>
      <c r="CQ23" s="18">
        <v>150</v>
      </c>
      <c r="CR23" s="18">
        <v>1500</v>
      </c>
      <c r="CS23" s="18" t="s">
        <v>236</v>
      </c>
      <c r="CT23" s="18" t="s">
        <v>207</v>
      </c>
      <c r="CU23" s="17">
        <v>5633</v>
      </c>
      <c r="CV23" s="18" t="s">
        <v>209</v>
      </c>
      <c r="CW23" s="17">
        <v>2700</v>
      </c>
      <c r="CX23" s="21">
        <v>1.5</v>
      </c>
      <c r="CY23" s="17">
        <v>4100</v>
      </c>
      <c r="CZ23" s="17">
        <v>2000</v>
      </c>
      <c r="DA23" s="17">
        <v>1000</v>
      </c>
      <c r="DB23" s="17">
        <v>2</v>
      </c>
      <c r="DC23" s="17">
        <v>1</v>
      </c>
      <c r="DD23" s="17">
        <v>5</v>
      </c>
      <c r="DE23" s="17">
        <v>72</v>
      </c>
      <c r="DF23" s="17">
        <v>15</v>
      </c>
      <c r="DG23" s="21">
        <v>18</v>
      </c>
      <c r="DH23" s="18">
        <v>6.6</v>
      </c>
      <c r="DI23" s="18">
        <v>205</v>
      </c>
      <c r="DJ23" s="18">
        <v>57</v>
      </c>
      <c r="DK23" s="17">
        <v>307</v>
      </c>
      <c r="DL23" s="21">
        <v>25</v>
      </c>
      <c r="DM23" s="21">
        <v>53</v>
      </c>
      <c r="DN23" s="18"/>
      <c r="DO23" s="18"/>
      <c r="DP23" s="21">
        <v>34</v>
      </c>
      <c r="DQ23" s="18">
        <v>1.2</v>
      </c>
      <c r="DR23" s="18">
        <v>69</v>
      </c>
      <c r="DU23" s="10">
        <v>14</v>
      </c>
      <c r="DV23" s="10">
        <v>5</v>
      </c>
      <c r="DY23" s="18">
        <v>137</v>
      </c>
      <c r="DZ23" s="18">
        <v>6.16</v>
      </c>
      <c r="EA23" s="18">
        <v>111</v>
      </c>
      <c r="EB23" s="18"/>
      <c r="EC23" s="18">
        <v>1262</v>
      </c>
      <c r="ED23" s="17">
        <v>635</v>
      </c>
      <c r="EE23" s="18">
        <v>7.34</v>
      </c>
      <c r="EF23" s="18">
        <v>22</v>
      </c>
      <c r="EG23" s="18">
        <v>75</v>
      </c>
      <c r="EH23" s="18">
        <v>12</v>
      </c>
      <c r="EI23" s="18">
        <v>357</v>
      </c>
      <c r="EJ23" s="18">
        <f t="shared" si="19"/>
        <v>0.21008403361344538</v>
      </c>
      <c r="EK23" s="10">
        <v>2.14</v>
      </c>
      <c r="EL23" s="18"/>
      <c r="EM23" s="18">
        <v>14</v>
      </c>
      <c r="EN23" s="22">
        <v>13</v>
      </c>
      <c r="EO23" s="22">
        <v>16.534282858797354</v>
      </c>
      <c r="EP23" s="18">
        <f t="shared" si="9"/>
        <v>0</v>
      </c>
      <c r="EQ23" s="18">
        <f t="shared" si="10"/>
        <v>0</v>
      </c>
      <c r="ER23" s="18">
        <f t="shared" si="11"/>
        <v>1</v>
      </c>
      <c r="ES23" s="18">
        <f t="shared" si="12"/>
        <v>1</v>
      </c>
      <c r="ET23" s="22">
        <v>1</v>
      </c>
      <c r="EU23" s="22">
        <v>0</v>
      </c>
      <c r="EV23" s="22">
        <v>1</v>
      </c>
      <c r="EW23" s="22">
        <v>0</v>
      </c>
      <c r="EX23" s="22">
        <v>0</v>
      </c>
      <c r="EY23" s="22">
        <f t="shared" si="13"/>
        <v>2</v>
      </c>
      <c r="EZ23" s="22">
        <v>1</v>
      </c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7">
        <v>635</v>
      </c>
      <c r="FT23" s="18"/>
      <c r="FU23" s="18"/>
      <c r="FV23" s="18"/>
      <c r="FW23" s="18"/>
      <c r="FX23" s="18"/>
      <c r="FY23" s="18"/>
      <c r="FZ23" s="18"/>
      <c r="GA23" s="18"/>
      <c r="GB23" s="22">
        <v>1</v>
      </c>
      <c r="GC23" s="22">
        <v>13</v>
      </c>
      <c r="GD23" s="22">
        <v>0</v>
      </c>
      <c r="GE23" s="18"/>
      <c r="GF23" s="18">
        <f t="shared" si="14"/>
        <v>0.88727143617965565</v>
      </c>
      <c r="GG23" s="17">
        <f t="shared" si="20"/>
        <v>4998</v>
      </c>
      <c r="GH23" s="17">
        <f t="shared" si="16"/>
        <v>-1</v>
      </c>
      <c r="GI23" s="17">
        <f t="shared" si="17"/>
        <v>2</v>
      </c>
    </row>
    <row r="24" spans="1:193" ht="18" customHeight="1" x14ac:dyDescent="0.45">
      <c r="A24" s="14">
        <v>22</v>
      </c>
      <c r="B24" s="35" t="s">
        <v>0</v>
      </c>
      <c r="C24" s="15" t="s">
        <v>1</v>
      </c>
      <c r="D24" s="16">
        <v>0</v>
      </c>
      <c r="E24" s="17">
        <v>1979</v>
      </c>
      <c r="F24" s="17">
        <f t="shared" si="0"/>
        <v>44</v>
      </c>
      <c r="G24" s="18" t="s">
        <v>200</v>
      </c>
      <c r="H24" s="18" t="s">
        <v>286</v>
      </c>
      <c r="I24" s="17">
        <v>0</v>
      </c>
      <c r="J24" s="18">
        <f t="shared" si="1"/>
        <v>3.36</v>
      </c>
      <c r="K24" s="17">
        <v>70</v>
      </c>
      <c r="L24" s="17">
        <v>166</v>
      </c>
      <c r="M24" s="18">
        <f t="shared" si="2"/>
        <v>25.402816083611555</v>
      </c>
      <c r="N24" s="17">
        <v>1</v>
      </c>
      <c r="O24" s="17">
        <v>1</v>
      </c>
      <c r="P24" s="17">
        <v>1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9" t="s">
        <v>287</v>
      </c>
      <c r="W24" s="17">
        <v>48</v>
      </c>
      <c r="X24" s="20">
        <v>22</v>
      </c>
      <c r="Y24" s="17">
        <v>1</v>
      </c>
      <c r="Z24" s="17">
        <v>17</v>
      </c>
      <c r="AA24" s="17">
        <v>160</v>
      </c>
      <c r="AB24" s="17">
        <v>130</v>
      </c>
      <c r="AC24" s="17">
        <v>80</v>
      </c>
      <c r="AD24" s="18">
        <f t="shared" si="3"/>
        <v>96.666666666666657</v>
      </c>
      <c r="AE24" s="18">
        <v>20</v>
      </c>
      <c r="AF24" s="17">
        <v>39.799999999999997</v>
      </c>
      <c r="AG24" s="17">
        <v>1</v>
      </c>
      <c r="AH24" s="17">
        <v>0</v>
      </c>
      <c r="AI24" s="17">
        <v>1</v>
      </c>
      <c r="AJ24" s="17">
        <v>12</v>
      </c>
      <c r="AK24" s="18">
        <v>7.7</v>
      </c>
      <c r="AL24" s="18">
        <v>5</v>
      </c>
      <c r="AM24" s="18">
        <v>164</v>
      </c>
      <c r="AN24" s="18">
        <v>49</v>
      </c>
      <c r="AO24" s="18">
        <v>166</v>
      </c>
      <c r="AP24" s="18">
        <v>21</v>
      </c>
      <c r="AQ24" s="18">
        <v>34</v>
      </c>
      <c r="AR24" s="18">
        <v>8.3000000000000007</v>
      </c>
      <c r="AT24" s="18">
        <v>25</v>
      </c>
      <c r="AU24" s="10">
        <v>61</v>
      </c>
      <c r="AV24" s="10">
        <v>8</v>
      </c>
      <c r="AW24" s="10">
        <v>0.97</v>
      </c>
      <c r="AX24" s="17">
        <v>51</v>
      </c>
      <c r="AY24" s="18">
        <v>2.5</v>
      </c>
      <c r="AZ24" s="10">
        <v>51.9</v>
      </c>
      <c r="BA24" s="5">
        <v>0.3</v>
      </c>
      <c r="BB24" s="5">
        <v>7.0000000000000007E-2</v>
      </c>
      <c r="BC24" s="21">
        <v>29</v>
      </c>
      <c r="BD24" s="17">
        <v>137</v>
      </c>
      <c r="BE24" s="21">
        <v>4.3</v>
      </c>
      <c r="BF24" s="17">
        <v>108</v>
      </c>
      <c r="BG24" s="17">
        <v>235</v>
      </c>
      <c r="BH24" s="17">
        <v>331</v>
      </c>
      <c r="BI24" s="17">
        <v>2390</v>
      </c>
      <c r="BJ24" s="17">
        <v>319</v>
      </c>
      <c r="BK24" s="18"/>
      <c r="BL24" s="18">
        <v>80</v>
      </c>
      <c r="BM24" s="18">
        <v>7.3</v>
      </c>
      <c r="BN24" s="17">
        <v>21</v>
      </c>
      <c r="BO24" s="17">
        <v>197</v>
      </c>
      <c r="BP24" s="21">
        <v>10</v>
      </c>
      <c r="BQ24" s="21">
        <f>BO24/BR24</f>
        <v>351.78571428571428</v>
      </c>
      <c r="BR24" s="18">
        <v>0.56000000000000005</v>
      </c>
      <c r="BU24" s="20">
        <v>22</v>
      </c>
      <c r="BV24" s="22">
        <v>42.43356489574505</v>
      </c>
      <c r="BW24" s="18">
        <f t="shared" si="4"/>
        <v>1</v>
      </c>
      <c r="BX24" s="18">
        <f t="shared" si="5"/>
        <v>0</v>
      </c>
      <c r="BY24" s="18">
        <f t="shared" si="6"/>
        <v>1</v>
      </c>
      <c r="BZ24" s="18">
        <f t="shared" si="7"/>
        <v>2</v>
      </c>
      <c r="CA24" s="22">
        <v>1</v>
      </c>
      <c r="CB24" s="22">
        <v>1</v>
      </c>
      <c r="CC24" s="22">
        <v>1</v>
      </c>
      <c r="CD24" s="22">
        <v>0</v>
      </c>
      <c r="CE24" s="22">
        <v>1</v>
      </c>
      <c r="CF24" s="22">
        <f t="shared" si="8"/>
        <v>4</v>
      </c>
      <c r="CG24" s="22">
        <v>1</v>
      </c>
      <c r="CH24" s="22">
        <v>5</v>
      </c>
      <c r="CI24" s="23">
        <v>0</v>
      </c>
      <c r="CJ24" s="23">
        <v>0</v>
      </c>
      <c r="CK24" s="23">
        <v>1</v>
      </c>
      <c r="CL24" s="23">
        <v>0</v>
      </c>
      <c r="CM24" s="23">
        <v>4</v>
      </c>
      <c r="CN24" s="23" t="s">
        <v>203</v>
      </c>
      <c r="CO24" s="18" t="s">
        <v>288</v>
      </c>
      <c r="CP24" s="18" t="s">
        <v>205</v>
      </c>
      <c r="CQ24" s="18">
        <v>200</v>
      </c>
      <c r="CR24" s="18">
        <v>1500</v>
      </c>
      <c r="CS24" s="18" t="s">
        <v>206</v>
      </c>
      <c r="CT24" s="18" t="s">
        <v>207</v>
      </c>
      <c r="CU24" s="17">
        <f>BI24</f>
        <v>2390</v>
      </c>
      <c r="CV24" s="18" t="s">
        <v>208</v>
      </c>
      <c r="CW24" s="17">
        <v>2800</v>
      </c>
      <c r="CX24" s="21">
        <v>1.5</v>
      </c>
      <c r="CY24" s="17">
        <v>4200</v>
      </c>
      <c r="DB24" s="17">
        <v>1</v>
      </c>
      <c r="DC24" s="17">
        <v>1</v>
      </c>
      <c r="DD24" s="17">
        <v>3</v>
      </c>
      <c r="DE24" s="17">
        <v>150</v>
      </c>
      <c r="DF24" s="17">
        <v>18</v>
      </c>
      <c r="DG24" s="21">
        <v>9.4</v>
      </c>
      <c r="DH24" s="18">
        <v>3.4</v>
      </c>
      <c r="DI24" s="18">
        <v>106</v>
      </c>
      <c r="DJ24" s="18">
        <v>31</v>
      </c>
      <c r="DK24" s="17">
        <v>52</v>
      </c>
      <c r="DL24" s="21">
        <v>14</v>
      </c>
      <c r="DM24" s="21">
        <v>38</v>
      </c>
      <c r="DN24" s="18">
        <v>76</v>
      </c>
      <c r="DO24" s="18">
        <v>4.0999999999999996</v>
      </c>
      <c r="DP24" s="21">
        <v>42</v>
      </c>
      <c r="DQ24" s="18">
        <v>2.5</v>
      </c>
      <c r="DR24" s="18">
        <v>29</v>
      </c>
      <c r="DT24" s="10">
        <v>381.85</v>
      </c>
      <c r="DU24" s="10">
        <v>25</v>
      </c>
      <c r="DV24" s="10">
        <v>5</v>
      </c>
      <c r="DY24" s="18">
        <v>141</v>
      </c>
      <c r="DZ24" s="18">
        <v>2.8</v>
      </c>
      <c r="EA24" s="18">
        <v>110</v>
      </c>
      <c r="EB24" s="18"/>
      <c r="EC24" s="18"/>
      <c r="ED24" s="17">
        <v>786</v>
      </c>
      <c r="EE24" s="18">
        <v>7.39</v>
      </c>
      <c r="EF24" s="18">
        <v>30</v>
      </c>
      <c r="EG24" s="18">
        <v>105</v>
      </c>
      <c r="EH24" s="18">
        <v>18.899999999999999</v>
      </c>
      <c r="EI24" s="18">
        <v>264</v>
      </c>
      <c r="EJ24" s="18">
        <f t="shared" si="19"/>
        <v>0.39772727272727271</v>
      </c>
      <c r="EK24" s="10">
        <v>1.87</v>
      </c>
      <c r="EL24" s="18"/>
      <c r="EM24" s="18">
        <v>15</v>
      </c>
      <c r="EN24" s="22">
        <v>16</v>
      </c>
      <c r="EO24" s="22">
        <v>23.487244121563204</v>
      </c>
      <c r="EP24" s="18">
        <f t="shared" si="9"/>
        <v>1</v>
      </c>
      <c r="EQ24" s="18">
        <f t="shared" si="10"/>
        <v>0</v>
      </c>
      <c r="ER24" s="18">
        <f t="shared" si="11"/>
        <v>1</v>
      </c>
      <c r="ES24" s="18">
        <f t="shared" si="12"/>
        <v>2</v>
      </c>
      <c r="ET24" s="22">
        <v>1</v>
      </c>
      <c r="EU24" s="22">
        <v>0</v>
      </c>
      <c r="EV24" s="22">
        <v>0</v>
      </c>
      <c r="EW24" s="22">
        <v>0</v>
      </c>
      <c r="EX24" s="22">
        <v>1</v>
      </c>
      <c r="EY24" s="22">
        <f t="shared" si="13"/>
        <v>2</v>
      </c>
      <c r="EZ24" s="22">
        <v>5</v>
      </c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7">
        <v>786</v>
      </c>
      <c r="FT24" s="18"/>
      <c r="FU24" s="18"/>
      <c r="FV24" s="18"/>
      <c r="FW24" s="18"/>
      <c r="FX24" s="18"/>
      <c r="FY24" s="18"/>
      <c r="FZ24" s="18"/>
      <c r="GA24" s="18"/>
      <c r="GB24" s="22">
        <v>5</v>
      </c>
      <c r="GC24" s="22">
        <v>16</v>
      </c>
      <c r="GD24" s="22">
        <v>0</v>
      </c>
      <c r="GE24" s="18"/>
      <c r="GF24" s="18">
        <f t="shared" si="14"/>
        <v>0.67112970711297071</v>
      </c>
      <c r="GG24" s="17">
        <f t="shared" si="20"/>
        <v>1604</v>
      </c>
      <c r="GH24" s="17">
        <f t="shared" si="16"/>
        <v>2</v>
      </c>
      <c r="GI24" s="17">
        <f t="shared" si="17"/>
        <v>6</v>
      </c>
    </row>
    <row r="25" spans="1:193" ht="18" customHeight="1" x14ac:dyDescent="0.45">
      <c r="A25" s="14">
        <v>23</v>
      </c>
      <c r="B25" s="35" t="s">
        <v>452</v>
      </c>
      <c r="C25" s="15" t="s">
        <v>453</v>
      </c>
      <c r="D25" s="16">
        <v>0</v>
      </c>
      <c r="E25" s="17">
        <v>1978</v>
      </c>
      <c r="F25" s="17">
        <f t="shared" si="0"/>
        <v>45</v>
      </c>
      <c r="G25" s="18" t="s">
        <v>200</v>
      </c>
      <c r="H25" s="18" t="s">
        <v>301</v>
      </c>
      <c r="I25" s="17">
        <v>1</v>
      </c>
      <c r="J25" s="18">
        <f t="shared" si="1"/>
        <v>3.7440000000000002</v>
      </c>
      <c r="K25" s="17">
        <v>78</v>
      </c>
      <c r="L25" s="17">
        <v>167</v>
      </c>
      <c r="M25" s="18">
        <f t="shared" si="2"/>
        <v>27.968016063681024</v>
      </c>
      <c r="N25" s="17">
        <v>0</v>
      </c>
      <c r="O25" s="17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9" t="s">
        <v>448</v>
      </c>
      <c r="W25" s="17">
        <v>48</v>
      </c>
      <c r="X25" s="20">
        <v>10</v>
      </c>
      <c r="Y25" s="17">
        <v>1</v>
      </c>
      <c r="Z25" s="17">
        <v>13</v>
      </c>
      <c r="AA25" s="17">
        <v>126</v>
      </c>
      <c r="AB25" s="17">
        <v>100</v>
      </c>
      <c r="AC25" s="17">
        <v>60</v>
      </c>
      <c r="AD25" s="18">
        <f t="shared" si="3"/>
        <v>73.333333333333329</v>
      </c>
      <c r="AE25" s="18">
        <v>20</v>
      </c>
      <c r="AF25" s="17">
        <v>37</v>
      </c>
      <c r="AG25" s="17">
        <v>1</v>
      </c>
      <c r="AH25" s="17">
        <v>1</v>
      </c>
      <c r="AI25" s="17">
        <v>0</v>
      </c>
      <c r="AJ25" s="17">
        <v>13</v>
      </c>
      <c r="AK25" s="18">
        <v>16.5</v>
      </c>
      <c r="AL25" s="18">
        <v>4.6500000000000004</v>
      </c>
      <c r="AM25" s="18">
        <v>146</v>
      </c>
      <c r="AN25" s="18">
        <v>41.5</v>
      </c>
      <c r="AO25" s="18">
        <v>267</v>
      </c>
      <c r="AP25" s="18">
        <v>14</v>
      </c>
      <c r="AQ25" s="18">
        <v>30</v>
      </c>
      <c r="AR25" s="18"/>
      <c r="AT25" s="18"/>
      <c r="AV25" s="10">
        <v>26</v>
      </c>
      <c r="AW25" s="10">
        <v>18</v>
      </c>
      <c r="AX25" s="17">
        <v>12.64</v>
      </c>
      <c r="AY25" s="18">
        <v>0.65</v>
      </c>
      <c r="BC25" s="21">
        <v>99</v>
      </c>
      <c r="BD25" s="17">
        <v>132</v>
      </c>
      <c r="BE25" s="21">
        <v>4.3600000000000003</v>
      </c>
      <c r="BF25" s="17">
        <v>96</v>
      </c>
      <c r="BH25" s="17">
        <v>1442</v>
      </c>
      <c r="BI25" s="17">
        <v>5160</v>
      </c>
      <c r="BJ25" s="17">
        <v>193</v>
      </c>
      <c r="BK25" s="18"/>
      <c r="BL25" s="18"/>
      <c r="BM25" s="18">
        <v>7.4</v>
      </c>
      <c r="BN25" s="17">
        <v>28</v>
      </c>
      <c r="BO25" s="17">
        <f>BQ25*BR25</f>
        <v>60.269999999999996</v>
      </c>
      <c r="BP25" s="21">
        <v>17.7</v>
      </c>
      <c r="BQ25" s="21">
        <v>287</v>
      </c>
      <c r="BR25" s="18">
        <v>0.21</v>
      </c>
      <c r="BT25" s="18">
        <v>2.61</v>
      </c>
      <c r="BU25" s="20">
        <v>10</v>
      </c>
      <c r="BV25" s="22">
        <v>11.334697884966939</v>
      </c>
      <c r="BW25" s="18">
        <f t="shared" si="4"/>
        <v>1</v>
      </c>
      <c r="BX25" s="18">
        <f t="shared" si="5"/>
        <v>0</v>
      </c>
      <c r="BY25" s="18">
        <f t="shared" si="6"/>
        <v>0</v>
      </c>
      <c r="BZ25" s="18">
        <f t="shared" si="7"/>
        <v>1</v>
      </c>
      <c r="CA25" s="22">
        <v>0</v>
      </c>
      <c r="CB25" s="22">
        <v>0</v>
      </c>
      <c r="CC25" s="22">
        <v>1</v>
      </c>
      <c r="CD25" s="22">
        <v>0</v>
      </c>
      <c r="CE25" s="22">
        <v>0</v>
      </c>
      <c r="CF25" s="22">
        <f t="shared" si="8"/>
        <v>1</v>
      </c>
      <c r="CG25" s="22">
        <v>1</v>
      </c>
      <c r="CH25" s="22">
        <v>3</v>
      </c>
      <c r="CI25" s="23">
        <v>1</v>
      </c>
      <c r="CJ25" s="23">
        <v>0</v>
      </c>
      <c r="CK25" s="23">
        <v>0</v>
      </c>
      <c r="CL25" s="23">
        <v>0</v>
      </c>
      <c r="CM25" s="23">
        <v>6</v>
      </c>
      <c r="CN25" s="23" t="s">
        <v>203</v>
      </c>
      <c r="CO25" s="18" t="s">
        <v>449</v>
      </c>
      <c r="CP25" s="18" t="s">
        <v>235</v>
      </c>
      <c r="CQ25" s="18">
        <v>150</v>
      </c>
      <c r="CR25" s="18">
        <v>1200</v>
      </c>
      <c r="CS25" s="18" t="s">
        <v>236</v>
      </c>
      <c r="CT25" s="18" t="s">
        <v>207</v>
      </c>
      <c r="CU25" s="17">
        <f>BI25</f>
        <v>5160</v>
      </c>
      <c r="CV25" s="18" t="s">
        <v>208</v>
      </c>
      <c r="CW25" s="17">
        <v>2200</v>
      </c>
      <c r="CX25" s="21">
        <v>2</v>
      </c>
      <c r="CY25" s="17">
        <v>4000</v>
      </c>
      <c r="CZ25" s="17">
        <v>3000</v>
      </c>
      <c r="DA25" s="17">
        <v>1000</v>
      </c>
      <c r="DB25" s="17">
        <v>1</v>
      </c>
      <c r="DC25" s="17">
        <v>0</v>
      </c>
      <c r="DD25" s="17">
        <v>3</v>
      </c>
      <c r="DE25" s="17">
        <v>116</v>
      </c>
      <c r="DF25" s="17">
        <v>18</v>
      </c>
      <c r="DG25" s="21">
        <v>14.9</v>
      </c>
      <c r="DH25" s="18">
        <v>4.28</v>
      </c>
      <c r="DI25" s="18">
        <v>128</v>
      </c>
      <c r="DJ25" s="18">
        <v>37</v>
      </c>
      <c r="DK25" s="17">
        <v>207</v>
      </c>
      <c r="DL25" s="21">
        <v>13</v>
      </c>
      <c r="DM25" s="21">
        <v>35</v>
      </c>
      <c r="DN25" s="18"/>
      <c r="DO25" s="18"/>
      <c r="DP25" s="21">
        <v>21</v>
      </c>
      <c r="DQ25" s="18">
        <v>0.72</v>
      </c>
      <c r="DR25" s="18">
        <v>88</v>
      </c>
      <c r="DS25" s="10">
        <v>45</v>
      </c>
      <c r="DU25" s="10">
        <v>23</v>
      </c>
      <c r="DV25" s="10">
        <v>22</v>
      </c>
      <c r="DW25" s="10">
        <v>0.48</v>
      </c>
      <c r="DX25" s="10">
        <v>0.08</v>
      </c>
      <c r="DY25" s="18">
        <v>137</v>
      </c>
      <c r="DZ25" s="18">
        <v>3.53</v>
      </c>
      <c r="EA25" s="18">
        <v>104</v>
      </c>
      <c r="EB25" s="18"/>
      <c r="EC25" s="18"/>
      <c r="ED25" s="17">
        <v>349</v>
      </c>
      <c r="EE25" s="18">
        <v>7.46</v>
      </c>
      <c r="EF25" s="18">
        <v>32</v>
      </c>
      <c r="EG25" s="18">
        <f>185*0.32</f>
        <v>59.2</v>
      </c>
      <c r="EH25" s="18">
        <v>24.8</v>
      </c>
      <c r="EI25" s="18">
        <v>185</v>
      </c>
      <c r="EJ25" s="18">
        <v>0.32</v>
      </c>
      <c r="EK25" s="10">
        <v>2.4500000000000002</v>
      </c>
      <c r="EL25" s="18">
        <v>1.68</v>
      </c>
      <c r="EM25" s="18">
        <v>14</v>
      </c>
      <c r="EN25" s="22">
        <v>5</v>
      </c>
      <c r="EO25" s="22">
        <v>5.8030727493148637</v>
      </c>
      <c r="EP25" s="18">
        <f t="shared" si="9"/>
        <v>1</v>
      </c>
      <c r="EQ25" s="18">
        <f t="shared" si="10"/>
        <v>0</v>
      </c>
      <c r="ER25" s="18">
        <f t="shared" si="11"/>
        <v>0</v>
      </c>
      <c r="ES25" s="18">
        <f t="shared" si="12"/>
        <v>1</v>
      </c>
      <c r="ET25" s="22">
        <v>0</v>
      </c>
      <c r="EU25" s="22">
        <v>0</v>
      </c>
      <c r="EV25" s="22">
        <v>1</v>
      </c>
      <c r="EW25" s="22">
        <v>0</v>
      </c>
      <c r="EX25" s="22">
        <v>0</v>
      </c>
      <c r="EY25" s="22">
        <f t="shared" si="13"/>
        <v>1</v>
      </c>
      <c r="EZ25" s="22">
        <v>1</v>
      </c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7">
        <v>349</v>
      </c>
      <c r="FT25" s="18"/>
      <c r="FU25" s="18"/>
      <c r="FV25" s="18"/>
      <c r="FW25" s="18"/>
      <c r="FX25" s="18"/>
      <c r="FY25" s="18"/>
      <c r="FZ25" s="18"/>
      <c r="GA25" s="18"/>
      <c r="GB25" s="22">
        <v>1</v>
      </c>
      <c r="GC25" s="22">
        <v>5</v>
      </c>
      <c r="GD25" s="22">
        <v>0</v>
      </c>
      <c r="GE25" s="18"/>
      <c r="GF25" s="18">
        <f t="shared" si="14"/>
        <v>0.93236434108527133</v>
      </c>
      <c r="GG25" s="17">
        <f t="shared" si="20"/>
        <v>4811</v>
      </c>
      <c r="GH25" s="17">
        <f t="shared" si="16"/>
        <v>0</v>
      </c>
      <c r="GI25" s="17">
        <f t="shared" si="17"/>
        <v>5</v>
      </c>
    </row>
    <row r="26" spans="1:193" ht="18" customHeight="1" x14ac:dyDescent="0.45">
      <c r="A26" s="14">
        <v>24</v>
      </c>
      <c r="B26" s="35" t="s">
        <v>15</v>
      </c>
      <c r="C26" s="15" t="s">
        <v>16</v>
      </c>
      <c r="D26" s="16">
        <v>0</v>
      </c>
      <c r="E26" s="17">
        <v>1990</v>
      </c>
      <c r="F26" s="17">
        <f t="shared" si="0"/>
        <v>33</v>
      </c>
      <c r="G26" s="18" t="s">
        <v>237</v>
      </c>
      <c r="H26" s="18" t="s">
        <v>234</v>
      </c>
      <c r="I26" s="17">
        <v>0</v>
      </c>
      <c r="J26" s="18">
        <f t="shared" si="1"/>
        <v>3.36</v>
      </c>
      <c r="K26" s="17">
        <v>70</v>
      </c>
      <c r="L26" s="17">
        <v>162</v>
      </c>
      <c r="M26" s="18">
        <f t="shared" si="2"/>
        <v>26.672763298277697</v>
      </c>
      <c r="N26" s="17">
        <v>0</v>
      </c>
      <c r="O26" s="17">
        <v>1</v>
      </c>
      <c r="P26" s="17">
        <v>0</v>
      </c>
      <c r="Q26" s="17">
        <v>0</v>
      </c>
      <c r="R26" s="17">
        <v>1</v>
      </c>
      <c r="S26" s="17">
        <v>0</v>
      </c>
      <c r="T26" s="17">
        <v>0</v>
      </c>
      <c r="U26" s="17">
        <v>0</v>
      </c>
      <c r="V26" s="19" t="s">
        <v>427</v>
      </c>
      <c r="W26" s="17">
        <v>48</v>
      </c>
      <c r="X26" s="20">
        <v>9</v>
      </c>
      <c r="Y26" s="17">
        <v>1</v>
      </c>
      <c r="Z26" s="17">
        <v>10</v>
      </c>
      <c r="AA26" s="17">
        <v>145</v>
      </c>
      <c r="AB26" s="17">
        <v>110</v>
      </c>
      <c r="AC26" s="17">
        <v>60</v>
      </c>
      <c r="AD26" s="18">
        <f t="shared" si="3"/>
        <v>76.666666666666657</v>
      </c>
      <c r="AE26" s="18">
        <v>20</v>
      </c>
      <c r="AF26" s="17">
        <v>37</v>
      </c>
      <c r="AG26" s="17">
        <v>0</v>
      </c>
      <c r="AH26" s="17">
        <v>0</v>
      </c>
      <c r="AI26" s="17">
        <v>0</v>
      </c>
      <c r="AJ26" s="17">
        <v>12</v>
      </c>
      <c r="AK26" s="18">
        <v>12</v>
      </c>
      <c r="AL26" s="18">
        <v>5.7</v>
      </c>
      <c r="AM26" s="18">
        <v>161</v>
      </c>
      <c r="AN26" s="18">
        <v>43</v>
      </c>
      <c r="AO26" s="18">
        <v>243</v>
      </c>
      <c r="AP26" s="18">
        <v>11</v>
      </c>
      <c r="AQ26" s="18">
        <v>33</v>
      </c>
      <c r="AR26" s="18"/>
      <c r="AS26" s="21">
        <v>307</v>
      </c>
      <c r="AT26" s="18"/>
      <c r="AV26" s="10">
        <v>25</v>
      </c>
      <c r="AW26" s="10">
        <v>24</v>
      </c>
      <c r="AX26" s="17">
        <v>50</v>
      </c>
      <c r="AY26" s="18">
        <v>0.94</v>
      </c>
      <c r="BA26" s="5">
        <v>1.65</v>
      </c>
      <c r="BB26" s="5">
        <v>0.12</v>
      </c>
      <c r="BC26" s="21">
        <v>70</v>
      </c>
      <c r="BD26" s="17">
        <v>124</v>
      </c>
      <c r="BE26" s="21">
        <v>3.17</v>
      </c>
      <c r="BF26" s="17">
        <v>86</v>
      </c>
      <c r="BH26" s="17">
        <v>741</v>
      </c>
      <c r="BI26" s="17">
        <v>2315</v>
      </c>
      <c r="BJ26" s="17">
        <v>312</v>
      </c>
      <c r="BK26" s="18">
        <v>7.2</v>
      </c>
      <c r="BL26" s="18"/>
      <c r="BM26" s="18">
        <v>7.39</v>
      </c>
      <c r="BN26" s="17">
        <v>38</v>
      </c>
      <c r="BO26" s="17">
        <v>92</v>
      </c>
      <c r="BP26" s="21">
        <v>23</v>
      </c>
      <c r="BQ26" s="21">
        <v>438</v>
      </c>
      <c r="BR26" s="18">
        <f>BO26/BQ26</f>
        <v>0.21004566210045661</v>
      </c>
      <c r="BT26" s="18">
        <v>2.2000000000000002</v>
      </c>
      <c r="BU26" s="20">
        <v>9</v>
      </c>
      <c r="BV26" s="22">
        <v>9.9481411429015392</v>
      </c>
      <c r="BW26" s="18">
        <f t="shared" si="4"/>
        <v>1</v>
      </c>
      <c r="BX26" s="18">
        <f t="shared" si="5"/>
        <v>0</v>
      </c>
      <c r="BY26" s="18">
        <f t="shared" si="6"/>
        <v>1</v>
      </c>
      <c r="BZ26" s="18">
        <f t="shared" si="7"/>
        <v>2</v>
      </c>
      <c r="CA26" s="22">
        <v>1</v>
      </c>
      <c r="CB26" s="22">
        <v>1</v>
      </c>
      <c r="CC26" s="22">
        <v>0</v>
      </c>
      <c r="CD26" s="22">
        <v>0</v>
      </c>
      <c r="CE26" s="22">
        <v>0</v>
      </c>
      <c r="CF26" s="22">
        <f t="shared" si="8"/>
        <v>2</v>
      </c>
      <c r="CG26" s="22">
        <v>1</v>
      </c>
      <c r="CH26" s="22">
        <v>3</v>
      </c>
      <c r="CI26" s="23">
        <v>0</v>
      </c>
      <c r="CJ26" s="23">
        <v>0</v>
      </c>
      <c r="CK26" s="23">
        <v>1</v>
      </c>
      <c r="CL26" s="23">
        <v>0</v>
      </c>
      <c r="CM26" s="23">
        <v>6</v>
      </c>
      <c r="CN26" s="23" t="s">
        <v>203</v>
      </c>
      <c r="CO26" s="18" t="s">
        <v>428</v>
      </c>
      <c r="CP26" s="18" t="s">
        <v>235</v>
      </c>
      <c r="CQ26" s="18">
        <v>150</v>
      </c>
      <c r="CR26" s="18">
        <v>1600</v>
      </c>
      <c r="CS26" s="18" t="s">
        <v>236</v>
      </c>
      <c r="CT26" s="18" t="s">
        <v>207</v>
      </c>
      <c r="CU26" s="17">
        <v>2315</v>
      </c>
      <c r="CV26" s="18" t="s">
        <v>209</v>
      </c>
      <c r="CW26" s="17">
        <v>3300</v>
      </c>
      <c r="CX26" s="21">
        <v>1.5</v>
      </c>
      <c r="CY26" s="17">
        <v>4900</v>
      </c>
      <c r="CZ26" s="17">
        <v>2500</v>
      </c>
      <c r="DA26" s="17">
        <v>1000</v>
      </c>
      <c r="DB26" s="17">
        <v>1</v>
      </c>
      <c r="DC26" s="17">
        <v>0</v>
      </c>
      <c r="DD26" s="17">
        <v>3</v>
      </c>
      <c r="DE26" s="17">
        <v>135</v>
      </c>
      <c r="DF26" s="17">
        <v>18</v>
      </c>
      <c r="DG26" s="21">
        <v>12</v>
      </c>
      <c r="DH26" s="18">
        <v>3.32</v>
      </c>
      <c r="DI26" s="18">
        <v>125</v>
      </c>
      <c r="DJ26" s="18">
        <v>35.200000000000003</v>
      </c>
      <c r="DK26" s="17">
        <v>232</v>
      </c>
      <c r="DL26" s="21">
        <v>23</v>
      </c>
      <c r="DM26" s="21">
        <v>35</v>
      </c>
      <c r="DN26" s="18"/>
      <c r="DO26" s="18"/>
      <c r="DP26" s="21">
        <v>21</v>
      </c>
      <c r="DQ26" s="18">
        <v>0.32</v>
      </c>
      <c r="DR26" s="18">
        <v>99</v>
      </c>
      <c r="DY26" s="18">
        <v>134</v>
      </c>
      <c r="DZ26" s="18">
        <v>3.6</v>
      </c>
      <c r="EA26" s="18">
        <v>105</v>
      </c>
      <c r="EB26" s="18"/>
      <c r="EC26" s="18"/>
      <c r="ED26" s="17">
        <v>573</v>
      </c>
      <c r="EE26" s="18">
        <v>7.43</v>
      </c>
      <c r="EF26" s="18">
        <v>45</v>
      </c>
      <c r="EG26" s="18">
        <v>81</v>
      </c>
      <c r="EH26" s="18">
        <v>22</v>
      </c>
      <c r="EI26" s="18">
        <f>EG26/0.21</f>
        <v>385.71428571428572</v>
      </c>
      <c r="EJ26" s="18">
        <f>EG26/EI26</f>
        <v>0.21</v>
      </c>
      <c r="EK26" s="10">
        <v>1.08</v>
      </c>
      <c r="EL26" s="18"/>
      <c r="EM26" s="18">
        <v>14</v>
      </c>
      <c r="EN26" s="22">
        <v>6</v>
      </c>
      <c r="EO26" s="22">
        <v>6.6545891108010107</v>
      </c>
      <c r="EP26" s="18">
        <f t="shared" si="9"/>
        <v>1</v>
      </c>
      <c r="EQ26" s="18">
        <f t="shared" si="10"/>
        <v>0</v>
      </c>
      <c r="ER26" s="18">
        <f t="shared" si="11"/>
        <v>0</v>
      </c>
      <c r="ES26" s="18">
        <f t="shared" si="12"/>
        <v>1</v>
      </c>
      <c r="ET26" s="22">
        <v>0</v>
      </c>
      <c r="EU26" s="22">
        <v>0</v>
      </c>
      <c r="EV26" s="22">
        <v>1</v>
      </c>
      <c r="EW26" s="22">
        <v>0</v>
      </c>
      <c r="EX26" s="22">
        <v>0</v>
      </c>
      <c r="EY26" s="22">
        <f t="shared" si="13"/>
        <v>1</v>
      </c>
      <c r="EZ26" s="22">
        <v>1</v>
      </c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7">
        <v>573</v>
      </c>
      <c r="FT26" s="18"/>
      <c r="FU26" s="18"/>
      <c r="FV26" s="18"/>
      <c r="FW26" s="18"/>
      <c r="FX26" s="18"/>
      <c r="FY26" s="18"/>
      <c r="FZ26" s="18"/>
      <c r="GA26" s="18"/>
      <c r="GB26" s="22">
        <v>1</v>
      </c>
      <c r="GC26" s="22">
        <v>6</v>
      </c>
      <c r="GD26" s="22">
        <v>0</v>
      </c>
      <c r="GE26" s="18"/>
      <c r="GF26" s="18">
        <f t="shared" si="14"/>
        <v>0.75248380129589632</v>
      </c>
      <c r="GG26" s="17">
        <f t="shared" si="20"/>
        <v>1742</v>
      </c>
      <c r="GH26" s="17">
        <f t="shared" si="16"/>
        <v>1</v>
      </c>
      <c r="GI26" s="17">
        <f t="shared" si="17"/>
        <v>3</v>
      </c>
    </row>
    <row r="27" spans="1:193" ht="18" customHeight="1" x14ac:dyDescent="0.45">
      <c r="A27" s="14">
        <v>25</v>
      </c>
      <c r="B27" s="35" t="s">
        <v>4</v>
      </c>
      <c r="C27" s="15" t="s">
        <v>5</v>
      </c>
      <c r="D27" s="16">
        <v>0</v>
      </c>
      <c r="E27" s="17">
        <v>1982</v>
      </c>
      <c r="F27" s="17">
        <f t="shared" si="0"/>
        <v>41</v>
      </c>
      <c r="G27" s="18" t="s">
        <v>211</v>
      </c>
      <c r="H27" s="18" t="s">
        <v>316</v>
      </c>
      <c r="I27" s="17">
        <v>0</v>
      </c>
      <c r="J27" s="18">
        <f t="shared" si="1"/>
        <v>3.6960000000000002</v>
      </c>
      <c r="K27" s="17">
        <v>77</v>
      </c>
      <c r="L27" s="17">
        <v>172</v>
      </c>
      <c r="M27" s="18">
        <f t="shared" si="2"/>
        <v>26.027582477014604</v>
      </c>
      <c r="N27" s="17">
        <v>0</v>
      </c>
      <c r="O27" s="17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9">
        <v>44152</v>
      </c>
      <c r="W27" s="17">
        <v>24</v>
      </c>
      <c r="X27" s="20">
        <v>25</v>
      </c>
      <c r="Y27" s="17">
        <v>1</v>
      </c>
      <c r="Z27" s="17">
        <v>7</v>
      </c>
      <c r="AA27" s="17">
        <v>180</v>
      </c>
      <c r="AB27" s="17">
        <v>100</v>
      </c>
      <c r="AC27" s="17">
        <v>60</v>
      </c>
      <c r="AD27" s="18">
        <f t="shared" si="3"/>
        <v>73.333333333333329</v>
      </c>
      <c r="AE27" s="18">
        <v>20</v>
      </c>
      <c r="AF27" s="17">
        <v>37</v>
      </c>
      <c r="AG27" s="17">
        <v>1</v>
      </c>
      <c r="AH27" s="17">
        <v>1</v>
      </c>
      <c r="AI27" s="17">
        <v>0</v>
      </c>
      <c r="AJ27" s="17">
        <v>7</v>
      </c>
      <c r="AK27" s="18">
        <v>6.85</v>
      </c>
      <c r="AL27" s="18">
        <v>6.87</v>
      </c>
      <c r="AM27" s="18">
        <v>242</v>
      </c>
      <c r="AN27" s="18">
        <v>60</v>
      </c>
      <c r="AO27" s="18">
        <v>392</v>
      </c>
      <c r="AP27" s="18">
        <v>14.8</v>
      </c>
      <c r="AQ27" s="18">
        <v>36.9</v>
      </c>
      <c r="AR27" s="18">
        <v>4.38</v>
      </c>
      <c r="AT27" s="18"/>
      <c r="AV27" s="10">
        <v>46</v>
      </c>
      <c r="AW27" s="10">
        <v>17</v>
      </c>
      <c r="AX27" s="17">
        <v>15</v>
      </c>
      <c r="AY27" s="18">
        <v>0.88</v>
      </c>
      <c r="AZ27" s="10">
        <v>39.4</v>
      </c>
      <c r="BA27" s="5" t="s">
        <v>464</v>
      </c>
      <c r="BB27" s="5" t="s">
        <v>465</v>
      </c>
      <c r="BC27" s="21">
        <v>112</v>
      </c>
      <c r="BD27" s="17">
        <v>136</v>
      </c>
      <c r="BE27" s="21">
        <v>4.6500000000000004</v>
      </c>
      <c r="BF27" s="17">
        <v>103</v>
      </c>
      <c r="BH27" s="17">
        <v>1994</v>
      </c>
      <c r="BI27" s="17">
        <v>13500</v>
      </c>
      <c r="BJ27" s="17">
        <v>600</v>
      </c>
      <c r="BK27" s="18"/>
      <c r="BL27" s="18">
        <v>20</v>
      </c>
      <c r="BM27" s="18">
        <v>7.1550000000000002</v>
      </c>
      <c r="BN27" s="17">
        <v>31.8</v>
      </c>
      <c r="BO27" s="17">
        <v>68</v>
      </c>
      <c r="BP27" s="21">
        <v>11</v>
      </c>
      <c r="BQ27" s="21">
        <f>BO27/BR27</f>
        <v>117.24137931034484</v>
      </c>
      <c r="BR27" s="18">
        <v>0.57999999999999996</v>
      </c>
      <c r="BS27" s="10">
        <v>2.2799999999999998</v>
      </c>
      <c r="BT27" s="18">
        <v>7.49</v>
      </c>
      <c r="BU27" s="20">
        <v>25</v>
      </c>
      <c r="BV27" s="22">
        <v>53.320107327383035</v>
      </c>
      <c r="BW27" s="18">
        <f t="shared" si="4"/>
        <v>1</v>
      </c>
      <c r="BX27" s="18">
        <f t="shared" si="5"/>
        <v>0</v>
      </c>
      <c r="BY27" s="18">
        <f t="shared" si="6"/>
        <v>0</v>
      </c>
      <c r="BZ27" s="18">
        <f t="shared" si="7"/>
        <v>1</v>
      </c>
      <c r="CA27" s="22">
        <v>0</v>
      </c>
      <c r="CB27" s="22">
        <v>1</v>
      </c>
      <c r="CC27" s="22">
        <v>0</v>
      </c>
      <c r="CD27" s="22">
        <v>0</v>
      </c>
      <c r="CE27" s="22">
        <v>0</v>
      </c>
      <c r="CF27" s="22">
        <f t="shared" si="8"/>
        <v>1</v>
      </c>
      <c r="CG27" s="22">
        <v>1</v>
      </c>
      <c r="CH27" s="22">
        <v>10</v>
      </c>
      <c r="CI27" s="23">
        <v>0</v>
      </c>
      <c r="CJ27" s="23">
        <v>0</v>
      </c>
      <c r="CK27" s="23">
        <v>1</v>
      </c>
      <c r="CL27" s="23">
        <v>0</v>
      </c>
      <c r="CM27" s="23">
        <v>6</v>
      </c>
      <c r="CN27" s="23" t="s">
        <v>203</v>
      </c>
      <c r="CO27" s="18" t="s">
        <v>466</v>
      </c>
      <c r="CP27" s="18" t="s">
        <v>235</v>
      </c>
      <c r="CQ27" s="18">
        <v>180</v>
      </c>
      <c r="CR27" s="18">
        <v>1500</v>
      </c>
      <c r="CS27" s="18" t="s">
        <v>236</v>
      </c>
      <c r="CT27" s="18" t="s">
        <v>207</v>
      </c>
      <c r="CU27" s="17">
        <f>BI27</f>
        <v>13500</v>
      </c>
      <c r="CV27" s="18" t="s">
        <v>208</v>
      </c>
      <c r="CW27" s="17">
        <v>2100</v>
      </c>
      <c r="CX27" s="21">
        <v>2</v>
      </c>
      <c r="CY27" s="17">
        <v>4200</v>
      </c>
      <c r="DB27" s="17">
        <v>1</v>
      </c>
      <c r="DC27" s="17">
        <v>1</v>
      </c>
      <c r="DD27" s="17">
        <v>3</v>
      </c>
      <c r="DE27" s="17">
        <v>160</v>
      </c>
      <c r="DF27" s="17">
        <v>18</v>
      </c>
      <c r="DG27" s="21">
        <v>6.9</v>
      </c>
      <c r="DH27" s="18">
        <v>4.0999999999999996</v>
      </c>
      <c r="DI27" s="18">
        <v>125</v>
      </c>
      <c r="DJ27" s="18">
        <v>34</v>
      </c>
      <c r="DK27" s="17">
        <v>203</v>
      </c>
      <c r="DL27" s="21">
        <v>15.4</v>
      </c>
      <c r="DM27" s="21">
        <v>127.5</v>
      </c>
      <c r="DN27" s="18"/>
      <c r="DO27" s="18">
        <v>4.34</v>
      </c>
      <c r="DP27" s="21">
        <v>17.8</v>
      </c>
      <c r="DQ27" s="18">
        <v>1.08</v>
      </c>
      <c r="DR27" s="18">
        <v>86</v>
      </c>
      <c r="DU27" s="10">
        <v>38</v>
      </c>
      <c r="DV27" s="10">
        <v>24</v>
      </c>
      <c r="DW27" s="10">
        <v>0.79</v>
      </c>
      <c r="DX27" s="10">
        <v>0.37</v>
      </c>
      <c r="DY27" s="18">
        <v>143</v>
      </c>
      <c r="DZ27" s="18">
        <v>3.07</v>
      </c>
      <c r="EA27" s="18">
        <v>108</v>
      </c>
      <c r="EB27" s="18">
        <v>454</v>
      </c>
      <c r="EC27" s="18"/>
      <c r="ED27" s="17">
        <v>2250</v>
      </c>
      <c r="EE27" s="18">
        <v>7.37</v>
      </c>
      <c r="EF27" s="18">
        <v>45.9</v>
      </c>
      <c r="EG27" s="18">
        <v>147</v>
      </c>
      <c r="EH27" s="18">
        <v>25</v>
      </c>
      <c r="EI27" s="18">
        <f>EG27/EJ27</f>
        <v>490</v>
      </c>
      <c r="EJ27" s="18">
        <v>0.3</v>
      </c>
      <c r="EK27" s="10">
        <v>1.88</v>
      </c>
      <c r="EL27" s="18">
        <v>1.1000000000000001</v>
      </c>
      <c r="EM27" s="18">
        <v>14</v>
      </c>
      <c r="EN27" s="22">
        <v>6</v>
      </c>
      <c r="EO27" s="22">
        <v>6.6545891108010107</v>
      </c>
      <c r="EP27" s="18">
        <f t="shared" si="9"/>
        <v>1</v>
      </c>
      <c r="EQ27" s="18">
        <f t="shared" si="10"/>
        <v>0</v>
      </c>
      <c r="ER27" s="18">
        <f t="shared" si="11"/>
        <v>0</v>
      </c>
      <c r="ES27" s="18">
        <f t="shared" si="12"/>
        <v>1</v>
      </c>
      <c r="ET27" s="22">
        <v>0</v>
      </c>
      <c r="EU27" s="22">
        <v>0</v>
      </c>
      <c r="EV27" s="22">
        <v>0</v>
      </c>
      <c r="EW27" s="22">
        <v>0</v>
      </c>
      <c r="EX27" s="22">
        <v>0</v>
      </c>
      <c r="EY27" s="22">
        <f t="shared" si="13"/>
        <v>0</v>
      </c>
      <c r="EZ27" s="22">
        <v>10</v>
      </c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7">
        <v>2250</v>
      </c>
      <c r="FT27" s="18"/>
      <c r="FU27" s="18"/>
      <c r="FV27" s="18"/>
      <c r="FW27" s="18"/>
      <c r="FX27" s="18"/>
      <c r="FY27" s="18"/>
      <c r="FZ27" s="18"/>
      <c r="GA27" s="18"/>
      <c r="GB27" s="22">
        <v>2</v>
      </c>
      <c r="GC27" s="22">
        <v>6</v>
      </c>
      <c r="GD27" s="22">
        <v>0</v>
      </c>
      <c r="GE27" s="18"/>
      <c r="GF27" s="18">
        <f t="shared" si="14"/>
        <v>0.83333333333333337</v>
      </c>
      <c r="GG27" s="17">
        <f t="shared" si="20"/>
        <v>11250</v>
      </c>
      <c r="GH27" s="17">
        <f t="shared" si="16"/>
        <v>1</v>
      </c>
      <c r="GI27" s="17">
        <f t="shared" si="17"/>
        <v>19</v>
      </c>
    </row>
    <row r="28" spans="1:193" ht="18" customHeight="1" x14ac:dyDescent="0.45">
      <c r="A28" s="14">
        <v>26</v>
      </c>
      <c r="B28" s="35" t="s">
        <v>241</v>
      </c>
      <c r="C28" s="15" t="s">
        <v>242</v>
      </c>
      <c r="D28" s="16">
        <v>0</v>
      </c>
      <c r="E28" s="17">
        <v>1989</v>
      </c>
      <c r="F28" s="17">
        <f t="shared" si="0"/>
        <v>34</v>
      </c>
      <c r="G28" s="18" t="s">
        <v>211</v>
      </c>
      <c r="H28" s="18" t="s">
        <v>234</v>
      </c>
      <c r="I28" s="17">
        <v>1</v>
      </c>
      <c r="J28" s="18">
        <f t="shared" si="1"/>
        <v>2.7360000000000002</v>
      </c>
      <c r="K28" s="17">
        <v>57</v>
      </c>
      <c r="L28" s="17">
        <v>157</v>
      </c>
      <c r="M28" s="18">
        <f t="shared" si="2"/>
        <v>23.124670372023203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9" t="s">
        <v>395</v>
      </c>
      <c r="W28" s="17">
        <v>12</v>
      </c>
      <c r="X28" s="20">
        <v>9</v>
      </c>
      <c r="Y28" s="17">
        <v>1</v>
      </c>
      <c r="Z28" s="17">
        <v>14</v>
      </c>
      <c r="AA28" s="17">
        <v>100</v>
      </c>
      <c r="AB28" s="17">
        <v>100</v>
      </c>
      <c r="AC28" s="17">
        <v>60</v>
      </c>
      <c r="AD28" s="18">
        <f t="shared" si="3"/>
        <v>73.333333333333329</v>
      </c>
      <c r="AE28" s="18">
        <v>20</v>
      </c>
      <c r="AF28" s="17">
        <v>37</v>
      </c>
      <c r="AG28" s="17">
        <v>1</v>
      </c>
      <c r="AH28" s="17">
        <v>0</v>
      </c>
      <c r="AI28" s="17">
        <v>0</v>
      </c>
      <c r="AJ28" s="17">
        <v>13</v>
      </c>
      <c r="AK28" s="18">
        <v>19</v>
      </c>
      <c r="AL28" s="18">
        <v>3.8</v>
      </c>
      <c r="AM28" s="18">
        <v>177</v>
      </c>
      <c r="AN28" s="18">
        <v>33</v>
      </c>
      <c r="AO28" s="18">
        <v>299</v>
      </c>
      <c r="AP28" s="18">
        <v>22</v>
      </c>
      <c r="AQ28" s="18">
        <v>85</v>
      </c>
      <c r="AR28" s="18"/>
      <c r="AT28" s="18"/>
      <c r="AV28" s="10">
        <v>52</v>
      </c>
      <c r="AW28" s="10">
        <v>12.49</v>
      </c>
      <c r="AX28" s="17">
        <v>7.7</v>
      </c>
      <c r="AY28" s="18">
        <v>0.54</v>
      </c>
      <c r="BA28" s="5">
        <v>0.96</v>
      </c>
      <c r="BB28" s="5">
        <v>0.35</v>
      </c>
      <c r="BC28" s="21">
        <v>133</v>
      </c>
      <c r="BD28" s="17">
        <v>132</v>
      </c>
      <c r="BE28" s="21">
        <v>2.6</v>
      </c>
      <c r="BF28" s="17">
        <v>105</v>
      </c>
      <c r="BH28" s="17">
        <v>274</v>
      </c>
      <c r="BI28" s="17">
        <v>1682</v>
      </c>
      <c r="BJ28" s="17">
        <v>120</v>
      </c>
      <c r="BK28" s="18"/>
      <c r="BL28" s="18"/>
      <c r="BM28" s="18">
        <v>7.4</v>
      </c>
      <c r="BN28" s="17">
        <v>30</v>
      </c>
      <c r="BO28" s="17">
        <v>78</v>
      </c>
      <c r="BP28" s="21">
        <v>18</v>
      </c>
      <c r="BQ28" s="21">
        <v>400</v>
      </c>
      <c r="BR28" s="18"/>
      <c r="BS28" s="10">
        <v>2.14</v>
      </c>
      <c r="BT28" s="18">
        <v>1.7</v>
      </c>
      <c r="BU28" s="20">
        <v>9</v>
      </c>
      <c r="BV28" s="22">
        <v>9.9481411429015392</v>
      </c>
      <c r="BW28" s="18">
        <f t="shared" si="4"/>
        <v>1</v>
      </c>
      <c r="BX28" s="18">
        <f t="shared" si="5"/>
        <v>0</v>
      </c>
      <c r="BY28" s="18">
        <f t="shared" si="6"/>
        <v>0</v>
      </c>
      <c r="BZ28" s="18">
        <f t="shared" si="7"/>
        <v>1</v>
      </c>
      <c r="CA28" s="22">
        <v>0</v>
      </c>
      <c r="CB28" s="22">
        <v>0</v>
      </c>
      <c r="CC28" s="22">
        <v>1</v>
      </c>
      <c r="CD28" s="22">
        <v>0</v>
      </c>
      <c r="CE28" s="22">
        <v>0</v>
      </c>
      <c r="CF28" s="22">
        <f t="shared" si="8"/>
        <v>1</v>
      </c>
      <c r="CG28" s="22">
        <v>1</v>
      </c>
      <c r="CH28" s="22">
        <v>1</v>
      </c>
      <c r="CI28" s="23">
        <v>0</v>
      </c>
      <c r="CJ28" s="23">
        <v>0</v>
      </c>
      <c r="CK28" s="23">
        <v>1</v>
      </c>
      <c r="CL28" s="23">
        <v>0</v>
      </c>
      <c r="CM28" s="23">
        <v>6</v>
      </c>
      <c r="CN28" s="23" t="s">
        <v>203</v>
      </c>
      <c r="CO28" s="18" t="s">
        <v>396</v>
      </c>
      <c r="CP28" s="18" t="s">
        <v>235</v>
      </c>
      <c r="CQ28" s="18">
        <v>180</v>
      </c>
      <c r="CR28" s="18">
        <v>1000</v>
      </c>
      <c r="CS28" s="18" t="s">
        <v>236</v>
      </c>
      <c r="CT28" s="18" t="s">
        <v>397</v>
      </c>
      <c r="CU28" s="17">
        <v>1682</v>
      </c>
      <c r="CV28" s="18" t="s">
        <v>209</v>
      </c>
      <c r="CW28" s="17">
        <v>3000</v>
      </c>
      <c r="CX28" s="21">
        <v>1.5</v>
      </c>
      <c r="CY28" s="17">
        <v>4500</v>
      </c>
      <c r="CZ28" s="17">
        <v>2000</v>
      </c>
      <c r="DA28" s="17">
        <v>500</v>
      </c>
      <c r="DB28" s="17">
        <v>2</v>
      </c>
      <c r="DC28" s="17">
        <v>0</v>
      </c>
      <c r="DD28" s="17">
        <v>5</v>
      </c>
      <c r="DE28" s="17">
        <v>90</v>
      </c>
      <c r="DF28" s="17">
        <v>18</v>
      </c>
      <c r="DG28" s="21">
        <v>9.6999999999999993</v>
      </c>
      <c r="DH28" s="18">
        <v>3.8</v>
      </c>
      <c r="DI28" s="18">
        <v>144</v>
      </c>
      <c r="DJ28" s="18">
        <v>32</v>
      </c>
      <c r="DK28" s="17">
        <v>167</v>
      </c>
      <c r="DL28" s="21">
        <v>15</v>
      </c>
      <c r="DM28" s="21">
        <v>34</v>
      </c>
      <c r="DN28" s="18"/>
      <c r="DO28" s="18"/>
      <c r="DP28" s="21">
        <v>14</v>
      </c>
      <c r="DQ28" s="18">
        <v>0.49</v>
      </c>
      <c r="DR28" s="18">
        <v>148</v>
      </c>
      <c r="DY28" s="18">
        <v>130</v>
      </c>
      <c r="DZ28" s="18">
        <v>3.3</v>
      </c>
      <c r="EA28" s="18">
        <v>100</v>
      </c>
      <c r="EB28" s="18"/>
      <c r="EC28" s="18"/>
      <c r="ED28" s="17">
        <v>708</v>
      </c>
      <c r="EE28" s="18">
        <v>7.37</v>
      </c>
      <c r="EF28" s="18">
        <v>37</v>
      </c>
      <c r="EG28" s="18">
        <v>98</v>
      </c>
      <c r="EH28" s="18">
        <v>26</v>
      </c>
      <c r="EI28" s="18">
        <f>EG28/0.21</f>
        <v>466.66666666666669</v>
      </c>
      <c r="EJ28" s="18">
        <v>0.21</v>
      </c>
      <c r="EK28" s="10">
        <v>2.1</v>
      </c>
      <c r="EL28" s="18"/>
      <c r="EM28" s="18">
        <v>15</v>
      </c>
      <c r="EN28" s="22">
        <v>3</v>
      </c>
      <c r="EO28" s="22">
        <v>4.3981843668079526</v>
      </c>
      <c r="EP28" s="18">
        <f t="shared" si="9"/>
        <v>1</v>
      </c>
      <c r="EQ28" s="18">
        <f t="shared" si="10"/>
        <v>0</v>
      </c>
      <c r="ER28" s="18">
        <f t="shared" si="11"/>
        <v>0</v>
      </c>
      <c r="ES28" s="18">
        <f t="shared" si="12"/>
        <v>1</v>
      </c>
      <c r="ET28" s="22">
        <v>0</v>
      </c>
      <c r="EU28" s="22">
        <v>0</v>
      </c>
      <c r="EV28" s="22">
        <v>0</v>
      </c>
      <c r="EW28" s="22">
        <v>0</v>
      </c>
      <c r="EX28" s="22">
        <v>0</v>
      </c>
      <c r="EY28" s="22">
        <f t="shared" si="13"/>
        <v>0</v>
      </c>
      <c r="EZ28" s="22">
        <v>0</v>
      </c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7">
        <v>708</v>
      </c>
      <c r="FT28" s="18"/>
      <c r="FU28" s="18"/>
      <c r="FV28" s="18"/>
      <c r="FW28" s="18"/>
      <c r="FX28" s="18"/>
      <c r="FY28" s="18"/>
      <c r="FZ28" s="18"/>
      <c r="GA28" s="18"/>
      <c r="GB28" s="22">
        <v>0</v>
      </c>
      <c r="GC28" s="22">
        <v>3</v>
      </c>
      <c r="GD28" s="22">
        <v>0</v>
      </c>
      <c r="GE28" s="18"/>
      <c r="GF28" s="18">
        <f t="shared" si="14"/>
        <v>0.5790725326991677</v>
      </c>
      <c r="GG28" s="17">
        <f t="shared" si="20"/>
        <v>974</v>
      </c>
      <c r="GH28" s="17">
        <f t="shared" si="16"/>
        <v>1</v>
      </c>
      <c r="GI28" s="17">
        <f t="shared" si="17"/>
        <v>6</v>
      </c>
    </row>
    <row r="29" spans="1:193" ht="18" customHeight="1" x14ac:dyDescent="0.45">
      <c r="A29" s="14">
        <v>27</v>
      </c>
      <c r="B29" s="35" t="s">
        <v>304</v>
      </c>
      <c r="C29" s="15" t="s">
        <v>305</v>
      </c>
      <c r="D29" s="16">
        <v>0</v>
      </c>
      <c r="E29" s="17">
        <v>1984</v>
      </c>
      <c r="F29" s="17">
        <f t="shared" si="0"/>
        <v>39</v>
      </c>
      <c r="G29" s="18" t="s">
        <v>200</v>
      </c>
      <c r="H29" s="18" t="s">
        <v>201</v>
      </c>
      <c r="I29" s="17">
        <v>0</v>
      </c>
      <c r="J29" s="18">
        <f t="shared" si="1"/>
        <v>2.7839999999999998</v>
      </c>
      <c r="K29" s="17">
        <v>58</v>
      </c>
      <c r="L29" s="17">
        <v>165</v>
      </c>
      <c r="M29" s="18">
        <f t="shared" si="2"/>
        <v>21.30394857667585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9" t="s">
        <v>227</v>
      </c>
      <c r="W29" s="17">
        <v>12</v>
      </c>
      <c r="X29" s="20">
        <v>10</v>
      </c>
      <c r="Y29" s="17">
        <v>2</v>
      </c>
      <c r="Z29" s="17">
        <v>7</v>
      </c>
      <c r="AA29" s="17">
        <v>100</v>
      </c>
      <c r="AB29" s="17">
        <v>120</v>
      </c>
      <c r="AC29" s="17">
        <v>80</v>
      </c>
      <c r="AD29" s="18">
        <f t="shared" si="3"/>
        <v>93.333333333333329</v>
      </c>
      <c r="AE29" s="18">
        <v>35</v>
      </c>
      <c r="AF29" s="17">
        <v>37</v>
      </c>
      <c r="AG29" s="17">
        <v>1</v>
      </c>
      <c r="AH29" s="17">
        <v>1</v>
      </c>
      <c r="AI29" s="17">
        <v>0</v>
      </c>
      <c r="AJ29" s="17">
        <v>13</v>
      </c>
      <c r="AK29" s="18">
        <v>10</v>
      </c>
      <c r="AL29" s="18">
        <v>5.4</v>
      </c>
      <c r="AM29" s="18">
        <v>203</v>
      </c>
      <c r="AN29" s="18">
        <v>48</v>
      </c>
      <c r="AO29" s="18">
        <v>341</v>
      </c>
      <c r="AP29" s="18">
        <v>12</v>
      </c>
      <c r="AQ29" s="18">
        <v>30.7</v>
      </c>
      <c r="AR29" s="18">
        <v>5.6</v>
      </c>
      <c r="AT29" s="18"/>
      <c r="AV29" s="10">
        <v>27</v>
      </c>
      <c r="AW29" s="10">
        <v>72</v>
      </c>
      <c r="AX29" s="17">
        <v>15</v>
      </c>
      <c r="AY29" s="18">
        <v>0.89</v>
      </c>
      <c r="AZ29" s="10">
        <v>45</v>
      </c>
      <c r="BA29" s="5">
        <v>1.06</v>
      </c>
      <c r="BB29" s="5">
        <v>0.26</v>
      </c>
      <c r="BC29" s="21">
        <v>110</v>
      </c>
      <c r="BD29" s="17">
        <v>120</v>
      </c>
      <c r="BE29" s="21">
        <v>4.3</v>
      </c>
      <c r="BF29" s="17">
        <v>90</v>
      </c>
      <c r="BI29" s="17">
        <v>5880</v>
      </c>
      <c r="BJ29" s="17">
        <v>157</v>
      </c>
      <c r="BK29" s="18"/>
      <c r="BL29" s="18"/>
      <c r="BM29" s="18">
        <v>7.4</v>
      </c>
      <c r="BN29" s="17">
        <v>33</v>
      </c>
      <c r="BO29" s="17">
        <v>100</v>
      </c>
      <c r="BP29" s="21">
        <v>22</v>
      </c>
      <c r="BQ29" s="21">
        <f>BO29/BR29</f>
        <v>169.49152542372883</v>
      </c>
      <c r="BR29" s="18">
        <v>0.59</v>
      </c>
      <c r="BS29" s="10">
        <v>1.94</v>
      </c>
      <c r="BU29" s="20">
        <v>10</v>
      </c>
      <c r="BV29" s="22">
        <v>11.334697884966939</v>
      </c>
      <c r="BW29" s="18">
        <f t="shared" si="4"/>
        <v>1</v>
      </c>
      <c r="BX29" s="18">
        <f t="shared" si="5"/>
        <v>1</v>
      </c>
      <c r="BY29" s="18">
        <f t="shared" si="6"/>
        <v>0</v>
      </c>
      <c r="BZ29" s="18">
        <f t="shared" si="7"/>
        <v>2</v>
      </c>
      <c r="CA29" s="22">
        <v>0</v>
      </c>
      <c r="CB29" s="22">
        <v>0</v>
      </c>
      <c r="CC29" s="22">
        <v>1</v>
      </c>
      <c r="CD29" s="22">
        <v>0</v>
      </c>
      <c r="CE29" s="22">
        <v>0</v>
      </c>
      <c r="CF29" s="22">
        <f t="shared" si="8"/>
        <v>1</v>
      </c>
      <c r="CG29" s="22">
        <v>0</v>
      </c>
      <c r="CH29" s="22">
        <v>4</v>
      </c>
      <c r="CI29" s="23">
        <v>0</v>
      </c>
      <c r="CJ29" s="23">
        <v>1</v>
      </c>
      <c r="CK29" s="23">
        <v>0</v>
      </c>
      <c r="CL29" s="23">
        <v>0</v>
      </c>
      <c r="CM29" s="23">
        <v>4</v>
      </c>
      <c r="CN29" s="23" t="s">
        <v>203</v>
      </c>
      <c r="CO29" s="18" t="s">
        <v>228</v>
      </c>
      <c r="CP29" s="18" t="s">
        <v>235</v>
      </c>
      <c r="CQ29" s="18">
        <v>180</v>
      </c>
      <c r="CR29" s="18">
        <v>1200</v>
      </c>
      <c r="CS29" s="18" t="s">
        <v>225</v>
      </c>
      <c r="CT29" s="18" t="s">
        <v>207</v>
      </c>
      <c r="CU29" s="17">
        <f t="shared" ref="CU29:CU41" si="21">BI29</f>
        <v>5880</v>
      </c>
      <c r="CV29" s="18" t="s">
        <v>209</v>
      </c>
      <c r="CW29" s="17">
        <v>2000</v>
      </c>
      <c r="CX29" s="21">
        <v>1.5</v>
      </c>
      <c r="CY29" s="17">
        <v>3000</v>
      </c>
      <c r="DB29" s="17">
        <v>1</v>
      </c>
      <c r="DC29" s="17">
        <v>0</v>
      </c>
      <c r="DD29" s="17">
        <v>3</v>
      </c>
      <c r="DE29" s="17">
        <v>80</v>
      </c>
      <c r="DF29" s="17">
        <v>32</v>
      </c>
      <c r="DG29" s="21">
        <v>4.3</v>
      </c>
      <c r="DH29" s="18">
        <v>3.56</v>
      </c>
      <c r="DI29" s="18">
        <v>137</v>
      </c>
      <c r="DJ29" s="18">
        <v>35.4</v>
      </c>
      <c r="DK29" s="17">
        <v>234</v>
      </c>
      <c r="DL29" s="21">
        <v>11</v>
      </c>
      <c r="DM29" s="21">
        <v>34</v>
      </c>
      <c r="DN29" s="18"/>
      <c r="DO29" s="18"/>
      <c r="DP29" s="21">
        <v>12</v>
      </c>
      <c r="DQ29" s="18">
        <v>0.54</v>
      </c>
      <c r="DR29" s="18">
        <v>109</v>
      </c>
      <c r="DV29" s="10">
        <v>22</v>
      </c>
      <c r="DW29" s="10">
        <v>55</v>
      </c>
      <c r="DX29" s="10">
        <v>0.56999999999999995</v>
      </c>
      <c r="DY29" s="18">
        <v>142</v>
      </c>
      <c r="DZ29" s="18">
        <v>4.5</v>
      </c>
      <c r="EA29" s="18">
        <v>106</v>
      </c>
      <c r="EB29" s="18"/>
      <c r="EC29" s="18"/>
      <c r="ED29" s="17">
        <v>2620</v>
      </c>
      <c r="EE29" s="18">
        <v>7.42</v>
      </c>
      <c r="EF29" s="18">
        <v>34</v>
      </c>
      <c r="EG29" s="18">
        <v>78</v>
      </c>
      <c r="EH29" s="18">
        <v>23</v>
      </c>
      <c r="EI29" s="18">
        <f>EG29/0.21</f>
        <v>371.42857142857144</v>
      </c>
      <c r="EJ29" s="18">
        <f>EG29/EI29</f>
        <v>0.21</v>
      </c>
      <c r="EK29" s="10">
        <v>2.37</v>
      </c>
      <c r="EL29" s="18"/>
      <c r="EM29" s="18">
        <v>13</v>
      </c>
      <c r="EN29" s="22">
        <v>7</v>
      </c>
      <c r="EO29" s="22">
        <v>7.620944279833977</v>
      </c>
      <c r="EP29" s="18">
        <f t="shared" si="9"/>
        <v>0</v>
      </c>
      <c r="EQ29" s="18">
        <f t="shared" si="10"/>
        <v>1</v>
      </c>
      <c r="ER29" s="18">
        <f t="shared" si="11"/>
        <v>0</v>
      </c>
      <c r="ES29" s="18">
        <f t="shared" si="12"/>
        <v>1</v>
      </c>
      <c r="ET29" s="22">
        <v>0</v>
      </c>
      <c r="EU29" s="22">
        <v>0</v>
      </c>
      <c r="EV29" s="22">
        <v>0</v>
      </c>
      <c r="EW29" s="22">
        <v>0</v>
      </c>
      <c r="EX29" s="22">
        <v>0</v>
      </c>
      <c r="EY29" s="22">
        <f t="shared" si="13"/>
        <v>0</v>
      </c>
      <c r="EZ29" s="22">
        <v>4</v>
      </c>
      <c r="FA29" s="18" t="s">
        <v>229</v>
      </c>
      <c r="FB29" s="18" t="s">
        <v>209</v>
      </c>
      <c r="FC29" s="18">
        <v>9.6999999999999993</v>
      </c>
      <c r="FD29" s="18">
        <v>167</v>
      </c>
      <c r="FE29" s="18">
        <v>41</v>
      </c>
      <c r="FF29" s="18">
        <v>241</v>
      </c>
      <c r="FG29" s="18">
        <v>14</v>
      </c>
      <c r="FH29" s="18">
        <v>134</v>
      </c>
      <c r="FI29" s="18"/>
      <c r="FJ29" s="18">
        <v>7.3</v>
      </c>
      <c r="FK29" s="18">
        <v>10</v>
      </c>
      <c r="FL29" s="18">
        <v>0.46</v>
      </c>
      <c r="FM29" s="18">
        <v>144</v>
      </c>
      <c r="FN29" s="18">
        <v>137</v>
      </c>
      <c r="FO29" s="18">
        <v>3.4</v>
      </c>
      <c r="FP29" s="18">
        <v>106</v>
      </c>
      <c r="FQ29" s="18"/>
      <c r="FR29" s="18"/>
      <c r="FS29" s="18">
        <v>658</v>
      </c>
      <c r="FT29" s="18">
        <v>7.42</v>
      </c>
      <c r="FU29" s="18">
        <v>40</v>
      </c>
      <c r="FV29" s="18">
        <v>94</v>
      </c>
      <c r="FW29" s="18">
        <v>26</v>
      </c>
      <c r="FX29" s="18">
        <v>0.21</v>
      </c>
      <c r="FY29" s="18">
        <v>447.61904761904765</v>
      </c>
      <c r="FZ29" s="18"/>
      <c r="GA29" s="18">
        <v>15</v>
      </c>
      <c r="GB29" s="22">
        <v>2</v>
      </c>
      <c r="GC29" s="22">
        <v>6</v>
      </c>
      <c r="GD29" s="22">
        <v>0</v>
      </c>
      <c r="GE29" s="22">
        <v>6.6545891108010107</v>
      </c>
      <c r="GF29" s="18">
        <f t="shared" si="14"/>
        <v>0.88809523809523805</v>
      </c>
      <c r="GG29" s="17">
        <f>BI29-FS29</f>
        <v>5222</v>
      </c>
      <c r="GH29" s="17">
        <f t="shared" si="16"/>
        <v>1</v>
      </c>
      <c r="GI29" s="17">
        <f t="shared" si="17"/>
        <v>4</v>
      </c>
      <c r="GJ29" s="18">
        <f>ED29-FS29</f>
        <v>1962</v>
      </c>
      <c r="GK29" s="24">
        <f>GJ29/ED29</f>
        <v>0.74885496183206102</v>
      </c>
    </row>
    <row r="30" spans="1:193" ht="18" customHeight="1" x14ac:dyDescent="0.45">
      <c r="A30" s="14">
        <v>28</v>
      </c>
      <c r="B30" s="35" t="s">
        <v>483</v>
      </c>
      <c r="C30" s="15" t="s">
        <v>377</v>
      </c>
      <c r="D30" s="16">
        <v>0</v>
      </c>
      <c r="E30" s="17">
        <v>1974</v>
      </c>
      <c r="F30" s="17">
        <f t="shared" si="0"/>
        <v>49</v>
      </c>
      <c r="G30" s="18" t="s">
        <v>200</v>
      </c>
      <c r="H30" s="18" t="s">
        <v>312</v>
      </c>
      <c r="I30" s="17">
        <v>0</v>
      </c>
      <c r="J30" s="18">
        <f t="shared" si="1"/>
        <v>3.84</v>
      </c>
      <c r="K30" s="17">
        <v>80</v>
      </c>
      <c r="L30" s="17">
        <v>163</v>
      </c>
      <c r="M30" s="18">
        <f t="shared" si="2"/>
        <v>30.110278896458279</v>
      </c>
      <c r="N30" s="17">
        <v>0</v>
      </c>
      <c r="O30" s="17">
        <v>1</v>
      </c>
      <c r="P30" s="17">
        <v>1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9" t="s">
        <v>313</v>
      </c>
      <c r="W30" s="17">
        <v>24</v>
      </c>
      <c r="X30" s="20">
        <v>11</v>
      </c>
      <c r="Y30" s="17">
        <v>1</v>
      </c>
      <c r="Z30" s="17">
        <v>6</v>
      </c>
      <c r="AA30" s="17">
        <v>102</v>
      </c>
      <c r="AB30" s="17">
        <v>120</v>
      </c>
      <c r="AC30" s="17">
        <v>80</v>
      </c>
      <c r="AD30" s="18">
        <f t="shared" si="3"/>
        <v>93.333333333333329</v>
      </c>
      <c r="AE30" s="18">
        <v>23</v>
      </c>
      <c r="AF30" s="17">
        <v>37</v>
      </c>
      <c r="AG30" s="17">
        <v>1</v>
      </c>
      <c r="AH30" s="17">
        <v>1</v>
      </c>
      <c r="AI30" s="17">
        <v>0</v>
      </c>
      <c r="AJ30" s="17">
        <v>14</v>
      </c>
      <c r="AK30" s="18">
        <v>2.1</v>
      </c>
      <c r="AL30" s="18">
        <v>4.9000000000000004</v>
      </c>
      <c r="AM30" s="18">
        <v>152</v>
      </c>
      <c r="AN30" s="18">
        <v>49</v>
      </c>
      <c r="AO30" s="18">
        <v>101</v>
      </c>
      <c r="AP30" s="18">
        <v>16</v>
      </c>
      <c r="AQ30" s="18">
        <v>30</v>
      </c>
      <c r="AR30" s="18">
        <v>5.9</v>
      </c>
      <c r="AT30" s="18"/>
      <c r="AV30" s="10">
        <v>64</v>
      </c>
      <c r="AW30" s="10">
        <v>74</v>
      </c>
      <c r="AX30" s="17">
        <v>11</v>
      </c>
      <c r="AY30" s="18">
        <v>1.1399999999999999</v>
      </c>
      <c r="AZ30" s="10">
        <v>51.4</v>
      </c>
      <c r="BA30" s="5">
        <v>1.65</v>
      </c>
      <c r="BB30" s="5">
        <v>0.12</v>
      </c>
      <c r="BC30" s="21">
        <v>75</v>
      </c>
      <c r="BD30" s="17">
        <v>117</v>
      </c>
      <c r="BE30" s="21">
        <v>4.2</v>
      </c>
      <c r="BF30" s="17">
        <v>87</v>
      </c>
      <c r="BG30" s="17">
        <v>511</v>
      </c>
      <c r="BI30" s="17">
        <v>4200</v>
      </c>
      <c r="BJ30" s="17">
        <v>1517</v>
      </c>
      <c r="BK30" s="18">
        <v>8.8000000000000007</v>
      </c>
      <c r="BL30" s="18"/>
      <c r="BM30" s="18">
        <v>7.38</v>
      </c>
      <c r="BN30" s="17">
        <v>32</v>
      </c>
      <c r="BO30" s="17">
        <v>75</v>
      </c>
      <c r="BP30" s="21">
        <v>19</v>
      </c>
      <c r="BQ30" s="21">
        <v>400</v>
      </c>
      <c r="BR30" s="18"/>
      <c r="BS30" s="10">
        <v>2.42</v>
      </c>
      <c r="BT30" s="18">
        <v>2.6</v>
      </c>
      <c r="BU30" s="20">
        <v>11</v>
      </c>
      <c r="BV30" s="22">
        <v>12.886854903027482</v>
      </c>
      <c r="BW30" s="18">
        <f t="shared" si="4"/>
        <v>1</v>
      </c>
      <c r="BX30" s="18">
        <f t="shared" si="5"/>
        <v>1</v>
      </c>
      <c r="BY30" s="18">
        <f t="shared" si="6"/>
        <v>0</v>
      </c>
      <c r="BZ30" s="18">
        <f t="shared" si="7"/>
        <v>2</v>
      </c>
      <c r="CA30" s="22">
        <v>0</v>
      </c>
      <c r="CB30" s="22">
        <v>0</v>
      </c>
      <c r="CC30" s="22">
        <v>1</v>
      </c>
      <c r="CD30" s="22">
        <v>0</v>
      </c>
      <c r="CE30" s="22">
        <v>0</v>
      </c>
      <c r="CF30" s="22">
        <f t="shared" si="8"/>
        <v>1</v>
      </c>
      <c r="CG30" s="22">
        <v>1</v>
      </c>
      <c r="CH30" s="22">
        <v>3</v>
      </c>
      <c r="CI30" s="23">
        <v>0</v>
      </c>
      <c r="CJ30" s="23">
        <v>0</v>
      </c>
      <c r="CK30" s="23">
        <v>1</v>
      </c>
      <c r="CL30" s="23">
        <v>0</v>
      </c>
      <c r="CM30" s="23">
        <v>4</v>
      </c>
      <c r="CN30" s="23" t="s">
        <v>203</v>
      </c>
      <c r="CO30" s="18" t="s">
        <v>314</v>
      </c>
      <c r="CP30" s="18" t="s">
        <v>205</v>
      </c>
      <c r="CQ30" s="18">
        <v>200</v>
      </c>
      <c r="CR30" s="18">
        <v>1500</v>
      </c>
      <c r="CS30" s="18" t="s">
        <v>206</v>
      </c>
      <c r="CT30" s="18" t="s">
        <v>207</v>
      </c>
      <c r="CU30" s="17">
        <f t="shared" si="21"/>
        <v>4200</v>
      </c>
      <c r="CV30" s="18" t="s">
        <v>209</v>
      </c>
      <c r="CW30" s="17">
        <v>2900</v>
      </c>
      <c r="CX30" s="21">
        <v>1.5</v>
      </c>
      <c r="CY30" s="17">
        <v>4400</v>
      </c>
      <c r="DB30" s="17">
        <v>1</v>
      </c>
      <c r="DC30" s="17">
        <v>1</v>
      </c>
      <c r="DD30" s="17">
        <v>3</v>
      </c>
      <c r="DE30" s="17">
        <v>82</v>
      </c>
      <c r="DF30" s="17">
        <v>21</v>
      </c>
      <c r="DG30" s="21">
        <v>3.9</v>
      </c>
      <c r="DH30" s="18">
        <v>4.5999999999999996</v>
      </c>
      <c r="DI30" s="18">
        <v>139</v>
      </c>
      <c r="DJ30" s="18">
        <v>40</v>
      </c>
      <c r="DK30" s="17">
        <v>145</v>
      </c>
      <c r="DL30" s="21">
        <v>19</v>
      </c>
      <c r="DM30" s="21">
        <v>59</v>
      </c>
      <c r="DN30" s="18"/>
      <c r="DO30" s="18">
        <v>6.7</v>
      </c>
      <c r="DP30" s="21">
        <v>28</v>
      </c>
      <c r="DQ30" s="18">
        <v>0.65</v>
      </c>
      <c r="DR30" s="18">
        <v>114</v>
      </c>
      <c r="DT30" s="10">
        <v>78.33</v>
      </c>
      <c r="DU30" s="10">
        <v>36</v>
      </c>
      <c r="DV30" s="10">
        <v>9</v>
      </c>
      <c r="DY30" s="18">
        <v>139</v>
      </c>
      <c r="DZ30" s="18">
        <v>3.4</v>
      </c>
      <c r="EA30" s="18">
        <v>105</v>
      </c>
      <c r="EB30" s="18"/>
      <c r="EC30" s="18"/>
      <c r="ED30" s="17">
        <v>700</v>
      </c>
      <c r="EE30" s="18">
        <v>7.38</v>
      </c>
      <c r="EF30" s="18">
        <v>44</v>
      </c>
      <c r="EG30" s="18">
        <v>80</v>
      </c>
      <c r="EH30" s="18">
        <v>24</v>
      </c>
      <c r="EI30" s="18">
        <f>EG30/0.3</f>
        <v>266.66666666666669</v>
      </c>
      <c r="EJ30" s="18">
        <f>EG30/EI30</f>
        <v>0.3</v>
      </c>
      <c r="EK30" s="10">
        <v>2.17</v>
      </c>
      <c r="EL30" s="18"/>
      <c r="EM30" s="18">
        <v>15</v>
      </c>
      <c r="EN30" s="22">
        <v>3</v>
      </c>
      <c r="EO30" s="22">
        <v>4.3981843668079526</v>
      </c>
      <c r="EP30" s="18">
        <f t="shared" si="9"/>
        <v>0</v>
      </c>
      <c r="EQ30" s="18">
        <f t="shared" si="10"/>
        <v>1</v>
      </c>
      <c r="ER30" s="18">
        <f t="shared" si="11"/>
        <v>1</v>
      </c>
      <c r="ES30" s="18">
        <f t="shared" si="12"/>
        <v>2</v>
      </c>
      <c r="ET30" s="22">
        <v>1</v>
      </c>
      <c r="EU30" s="22">
        <v>0</v>
      </c>
      <c r="EV30" s="22">
        <v>0</v>
      </c>
      <c r="EW30" s="22">
        <v>0</v>
      </c>
      <c r="EX30" s="22">
        <v>0</v>
      </c>
      <c r="EY30" s="22">
        <f t="shared" si="13"/>
        <v>1</v>
      </c>
      <c r="EZ30" s="22">
        <v>3</v>
      </c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7">
        <v>700</v>
      </c>
      <c r="FT30" s="18"/>
      <c r="FU30" s="18"/>
      <c r="FV30" s="18"/>
      <c r="FW30" s="18"/>
      <c r="FX30" s="18"/>
      <c r="FY30" s="18"/>
      <c r="FZ30" s="18"/>
      <c r="GA30" s="18"/>
      <c r="GB30" s="22">
        <v>3</v>
      </c>
      <c r="GC30" s="22">
        <v>3</v>
      </c>
      <c r="GD30" s="22">
        <v>0</v>
      </c>
      <c r="GE30" s="18"/>
      <c r="GF30" s="18">
        <f t="shared" si="14"/>
        <v>0.83333333333333337</v>
      </c>
      <c r="GG30" s="17">
        <f>BI30-ED30</f>
        <v>3500</v>
      </c>
      <c r="GH30" s="17">
        <f t="shared" si="16"/>
        <v>0</v>
      </c>
      <c r="GI30" s="17">
        <f t="shared" si="17"/>
        <v>8</v>
      </c>
    </row>
    <row r="31" spans="1:193" ht="18" customHeight="1" x14ac:dyDescent="0.45">
      <c r="A31" s="14">
        <v>29</v>
      </c>
      <c r="B31" s="35" t="s">
        <v>31</v>
      </c>
      <c r="C31" s="15" t="s">
        <v>32</v>
      </c>
      <c r="D31" s="16">
        <v>0</v>
      </c>
      <c r="E31" s="17">
        <v>1983</v>
      </c>
      <c r="F31" s="17">
        <f t="shared" si="0"/>
        <v>40</v>
      </c>
      <c r="G31" s="18" t="s">
        <v>200</v>
      </c>
      <c r="H31" s="18" t="s">
        <v>278</v>
      </c>
      <c r="I31" s="17">
        <v>0</v>
      </c>
      <c r="J31" s="18">
        <f t="shared" si="1"/>
        <v>3.6</v>
      </c>
      <c r="K31" s="17">
        <v>75</v>
      </c>
      <c r="L31" s="17">
        <v>165</v>
      </c>
      <c r="M31" s="18">
        <f t="shared" si="2"/>
        <v>27.548209366391188</v>
      </c>
      <c r="N31" s="17">
        <v>0</v>
      </c>
      <c r="O31" s="17">
        <v>1</v>
      </c>
      <c r="P31" s="17">
        <v>0</v>
      </c>
      <c r="Q31" s="17">
        <v>0</v>
      </c>
      <c r="R31" s="17">
        <v>1</v>
      </c>
      <c r="S31" s="17">
        <v>0</v>
      </c>
      <c r="T31" s="17">
        <v>0</v>
      </c>
      <c r="U31" s="17">
        <v>0</v>
      </c>
      <c r="V31" s="19" t="s">
        <v>366</v>
      </c>
      <c r="W31" s="17">
        <v>48</v>
      </c>
      <c r="X31" s="20">
        <v>33</v>
      </c>
      <c r="Y31" s="17">
        <v>1</v>
      </c>
      <c r="Z31" s="17">
        <v>7</v>
      </c>
      <c r="AA31" s="17">
        <v>150</v>
      </c>
      <c r="AB31" s="17">
        <v>90</v>
      </c>
      <c r="AC31" s="17">
        <v>60</v>
      </c>
      <c r="AD31" s="18">
        <f t="shared" si="3"/>
        <v>70</v>
      </c>
      <c r="AE31" s="18">
        <v>18</v>
      </c>
      <c r="AF31" s="17">
        <v>39</v>
      </c>
      <c r="AG31" s="17">
        <v>1</v>
      </c>
      <c r="AH31" s="17">
        <v>1</v>
      </c>
      <c r="AI31" s="17">
        <v>1</v>
      </c>
      <c r="AJ31" s="17">
        <v>12</v>
      </c>
      <c r="AK31" s="18">
        <v>14.59</v>
      </c>
      <c r="AL31" s="18">
        <v>6.06</v>
      </c>
      <c r="AM31" s="18">
        <v>186</v>
      </c>
      <c r="AN31" s="18">
        <v>53.3</v>
      </c>
      <c r="AO31" s="18">
        <v>230</v>
      </c>
      <c r="AP31" s="18">
        <v>14.3</v>
      </c>
      <c r="AQ31" s="18">
        <v>35.1</v>
      </c>
      <c r="AR31" s="18">
        <v>7.25</v>
      </c>
      <c r="AT31" s="18"/>
      <c r="AU31" s="10">
        <v>147.15</v>
      </c>
      <c r="AV31" s="10">
        <v>22</v>
      </c>
      <c r="AW31" s="10">
        <v>22</v>
      </c>
      <c r="AX31" s="17">
        <v>32</v>
      </c>
      <c r="AY31" s="18">
        <v>4.07</v>
      </c>
      <c r="BA31" s="5">
        <v>1.53</v>
      </c>
      <c r="BB31" s="5">
        <v>0.92</v>
      </c>
      <c r="BC31" s="21">
        <v>17.66</v>
      </c>
      <c r="BD31" s="17">
        <v>136</v>
      </c>
      <c r="BE31" s="21">
        <v>6.2</v>
      </c>
      <c r="BF31" s="17">
        <v>101</v>
      </c>
      <c r="BG31" s="17">
        <v>2200</v>
      </c>
      <c r="BI31" s="17">
        <v>1931</v>
      </c>
      <c r="BJ31" s="17">
        <v>725</v>
      </c>
      <c r="BK31" s="18">
        <v>10.97</v>
      </c>
      <c r="BL31" s="18"/>
      <c r="BM31" s="18">
        <v>7.2130000000000001</v>
      </c>
      <c r="BN31" s="17">
        <v>26.8</v>
      </c>
      <c r="BO31" s="17">
        <v>50</v>
      </c>
      <c r="BP31" s="21">
        <v>10.8</v>
      </c>
      <c r="BQ31" s="21">
        <v>100</v>
      </c>
      <c r="BR31" s="18"/>
      <c r="BT31" s="18">
        <v>63.32</v>
      </c>
      <c r="BU31" s="20">
        <v>33</v>
      </c>
      <c r="BV31" s="22">
        <v>78.600323329919746</v>
      </c>
      <c r="BW31" s="18">
        <f t="shared" si="4"/>
        <v>1</v>
      </c>
      <c r="BX31" s="18">
        <f t="shared" si="5"/>
        <v>0</v>
      </c>
      <c r="BY31" s="18">
        <f t="shared" si="6"/>
        <v>1</v>
      </c>
      <c r="BZ31" s="18">
        <f t="shared" si="7"/>
        <v>2</v>
      </c>
      <c r="CA31" s="22">
        <v>1</v>
      </c>
      <c r="CB31" s="22">
        <v>1</v>
      </c>
      <c r="CC31" s="22">
        <v>1</v>
      </c>
      <c r="CD31" s="22">
        <v>0</v>
      </c>
      <c r="CE31" s="22">
        <v>0</v>
      </c>
      <c r="CF31" s="22">
        <f t="shared" si="8"/>
        <v>3</v>
      </c>
      <c r="CG31" s="22">
        <v>1</v>
      </c>
      <c r="CH31" s="22">
        <v>9</v>
      </c>
      <c r="CI31" s="23">
        <v>1</v>
      </c>
      <c r="CJ31" s="23">
        <v>0</v>
      </c>
      <c r="CK31" s="23">
        <v>0</v>
      </c>
      <c r="CL31" s="23">
        <v>0</v>
      </c>
      <c r="CM31" s="23">
        <v>10</v>
      </c>
      <c r="CN31" s="23" t="s">
        <v>203</v>
      </c>
      <c r="CO31" s="18" t="s">
        <v>367</v>
      </c>
      <c r="CP31" s="18" t="s">
        <v>205</v>
      </c>
      <c r="CQ31" s="18">
        <v>200</v>
      </c>
      <c r="CR31" s="18">
        <v>1500</v>
      </c>
      <c r="CS31" s="18" t="s">
        <v>206</v>
      </c>
      <c r="CT31" s="18" t="s">
        <v>207</v>
      </c>
      <c r="CU31" s="17">
        <f t="shared" si="21"/>
        <v>1931</v>
      </c>
      <c r="CV31" s="18" t="s">
        <v>208</v>
      </c>
      <c r="CW31" s="17">
        <v>2500</v>
      </c>
      <c r="CX31" s="21">
        <v>1.5</v>
      </c>
      <c r="CY31" s="17">
        <v>3700</v>
      </c>
      <c r="DB31" s="17">
        <v>1</v>
      </c>
      <c r="DC31" s="17">
        <v>2</v>
      </c>
      <c r="DD31" s="17">
        <v>3</v>
      </c>
      <c r="DE31" s="17">
        <v>130</v>
      </c>
      <c r="DF31" s="17">
        <v>16</v>
      </c>
      <c r="DG31" s="21">
        <v>8.4</v>
      </c>
      <c r="DH31" s="18">
        <v>4.47</v>
      </c>
      <c r="DI31" s="18">
        <v>134</v>
      </c>
      <c r="DJ31" s="18">
        <v>39</v>
      </c>
      <c r="DK31" s="17">
        <v>95</v>
      </c>
      <c r="DL31" s="21">
        <v>17</v>
      </c>
      <c r="DM31" s="21">
        <v>75.400000000000006</v>
      </c>
      <c r="DN31" s="18"/>
      <c r="DO31" s="18">
        <v>4.53</v>
      </c>
      <c r="DP31" s="21">
        <v>19</v>
      </c>
      <c r="DQ31" s="18">
        <v>1.47</v>
      </c>
      <c r="DR31" s="18">
        <v>60.5</v>
      </c>
      <c r="DY31" s="18">
        <v>142</v>
      </c>
      <c r="DZ31" s="18">
        <v>3.7</v>
      </c>
      <c r="EA31" s="18">
        <v>106</v>
      </c>
      <c r="EB31" s="18">
        <v>1410</v>
      </c>
      <c r="EC31" s="18">
        <v>1095</v>
      </c>
      <c r="ED31" s="17">
        <v>432</v>
      </c>
      <c r="EE31" s="18">
        <v>7.41</v>
      </c>
      <c r="EF31" s="18">
        <v>29.7</v>
      </c>
      <c r="EG31" s="18">
        <v>162</v>
      </c>
      <c r="EH31" s="18">
        <v>19.399999999999999</v>
      </c>
      <c r="EI31" s="18">
        <v>534</v>
      </c>
      <c r="EJ31" s="18">
        <f>EG31/EI31</f>
        <v>0.30337078651685395</v>
      </c>
      <c r="EK31" s="10">
        <v>2.23</v>
      </c>
      <c r="EL31" s="18">
        <v>2.2000000000000002</v>
      </c>
      <c r="EM31" s="18">
        <v>12</v>
      </c>
      <c r="EN31" s="22">
        <v>11</v>
      </c>
      <c r="EO31" s="22">
        <v>12.886854903027482</v>
      </c>
      <c r="EP31" s="18">
        <f t="shared" si="9"/>
        <v>1</v>
      </c>
      <c r="EQ31" s="18">
        <f t="shared" si="10"/>
        <v>0</v>
      </c>
      <c r="ER31" s="18">
        <f t="shared" si="11"/>
        <v>0</v>
      </c>
      <c r="ES31" s="18">
        <f t="shared" si="12"/>
        <v>1</v>
      </c>
      <c r="ET31" s="22">
        <v>0</v>
      </c>
      <c r="EU31" s="22">
        <v>1</v>
      </c>
      <c r="EV31" s="22">
        <v>0</v>
      </c>
      <c r="EW31" s="22">
        <v>0</v>
      </c>
      <c r="EX31" s="22">
        <v>0</v>
      </c>
      <c r="EY31" s="22">
        <f t="shared" si="13"/>
        <v>1</v>
      </c>
      <c r="EZ31" s="22">
        <v>8</v>
      </c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7">
        <v>432</v>
      </c>
      <c r="FT31" s="18"/>
      <c r="FU31" s="18"/>
      <c r="FV31" s="18"/>
      <c r="FW31" s="18"/>
      <c r="FX31" s="18"/>
      <c r="FY31" s="18"/>
      <c r="FZ31" s="18"/>
      <c r="GA31" s="18"/>
      <c r="GB31" s="22">
        <v>8</v>
      </c>
      <c r="GC31" s="22">
        <v>11</v>
      </c>
      <c r="GD31" s="22">
        <v>0</v>
      </c>
      <c r="GE31" s="18"/>
      <c r="GF31" s="18">
        <f t="shared" si="14"/>
        <v>0.77628171931641632</v>
      </c>
      <c r="GG31" s="17">
        <f>BI31-ED31</f>
        <v>1499</v>
      </c>
      <c r="GH31" s="17">
        <f t="shared" si="16"/>
        <v>2</v>
      </c>
      <c r="GI31" s="17">
        <f t="shared" si="17"/>
        <v>22</v>
      </c>
    </row>
    <row r="32" spans="1:193" ht="18" customHeight="1" x14ac:dyDescent="0.45">
      <c r="A32" s="14">
        <v>30</v>
      </c>
      <c r="B32" s="35" t="s">
        <v>33</v>
      </c>
      <c r="C32" s="15" t="s">
        <v>34</v>
      </c>
      <c r="D32" s="16">
        <v>0</v>
      </c>
      <c r="E32" s="17">
        <v>1981</v>
      </c>
      <c r="F32" s="17">
        <f t="shared" si="0"/>
        <v>42</v>
      </c>
      <c r="G32" s="18" t="s">
        <v>237</v>
      </c>
      <c r="H32" s="18" t="s">
        <v>222</v>
      </c>
      <c r="I32" s="17">
        <v>1</v>
      </c>
      <c r="J32" s="18">
        <f t="shared" si="1"/>
        <v>3.36</v>
      </c>
      <c r="K32" s="17">
        <v>70</v>
      </c>
      <c r="L32" s="17">
        <v>168</v>
      </c>
      <c r="M32" s="18">
        <f t="shared" si="2"/>
        <v>24.801587301587304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9">
        <v>44882</v>
      </c>
      <c r="W32" s="17">
        <v>48</v>
      </c>
      <c r="X32" s="20">
        <v>28</v>
      </c>
      <c r="Y32" s="17">
        <v>1</v>
      </c>
      <c r="Z32" s="17">
        <v>150</v>
      </c>
      <c r="AA32" s="17">
        <v>150</v>
      </c>
      <c r="AB32" s="17">
        <v>80</v>
      </c>
      <c r="AC32" s="17">
        <v>40</v>
      </c>
      <c r="AD32" s="18">
        <f t="shared" si="3"/>
        <v>53.333333333333329</v>
      </c>
      <c r="AE32" s="18">
        <v>20</v>
      </c>
      <c r="AF32" s="17">
        <v>40</v>
      </c>
      <c r="AG32" s="17">
        <v>1</v>
      </c>
      <c r="AH32" s="17">
        <v>0</v>
      </c>
      <c r="AI32" s="17">
        <v>1</v>
      </c>
      <c r="AJ32" s="17">
        <v>13</v>
      </c>
      <c r="AK32" s="18">
        <v>15</v>
      </c>
      <c r="AL32" s="18">
        <v>6.9</v>
      </c>
      <c r="AM32" s="18">
        <v>205</v>
      </c>
      <c r="AN32" s="18">
        <v>61</v>
      </c>
      <c r="AO32" s="18">
        <v>313</v>
      </c>
      <c r="AP32" s="18">
        <v>14.5</v>
      </c>
      <c r="AQ32" s="18">
        <v>43</v>
      </c>
      <c r="AR32" s="18">
        <v>8.8000000000000007</v>
      </c>
      <c r="AS32" s="21">
        <v>242</v>
      </c>
      <c r="AT32" s="18"/>
      <c r="AV32" s="10">
        <v>55</v>
      </c>
      <c r="AW32" s="10">
        <v>88</v>
      </c>
      <c r="AX32" s="17">
        <v>27</v>
      </c>
      <c r="AY32" s="18">
        <v>3.35</v>
      </c>
      <c r="BA32" s="5">
        <v>2.8</v>
      </c>
      <c r="BB32" s="5">
        <v>0.3</v>
      </c>
      <c r="BC32" s="21">
        <v>22</v>
      </c>
      <c r="BD32" s="17">
        <v>146</v>
      </c>
      <c r="BE32" s="21">
        <v>3.5</v>
      </c>
      <c r="BF32" s="17">
        <v>108</v>
      </c>
      <c r="BG32" s="17">
        <v>1399</v>
      </c>
      <c r="BH32" s="17">
        <v>1004</v>
      </c>
      <c r="BI32" s="17">
        <v>1240</v>
      </c>
      <c r="BJ32" s="17">
        <v>161</v>
      </c>
      <c r="BK32" s="18"/>
      <c r="BL32" s="18"/>
      <c r="BM32" s="18">
        <v>7.3</v>
      </c>
      <c r="BN32" s="17">
        <v>30</v>
      </c>
      <c r="BO32" s="17">
        <v>127</v>
      </c>
      <c r="BP32" s="21">
        <v>15</v>
      </c>
      <c r="BQ32" s="21">
        <f>BO32/BR32</f>
        <v>222.80701754385967</v>
      </c>
      <c r="BR32" s="18">
        <v>0.56999999999999995</v>
      </c>
      <c r="BT32" s="18">
        <v>2.5</v>
      </c>
      <c r="BU32" s="20">
        <v>28</v>
      </c>
      <c r="BV32" s="22">
        <v>63.899388789640511</v>
      </c>
      <c r="BW32" s="18">
        <f t="shared" si="4"/>
        <v>1</v>
      </c>
      <c r="BX32" s="18">
        <f t="shared" si="5"/>
        <v>0</v>
      </c>
      <c r="BY32" s="18">
        <f t="shared" si="6"/>
        <v>0</v>
      </c>
      <c r="BZ32" s="18">
        <f t="shared" si="7"/>
        <v>1</v>
      </c>
      <c r="CA32" s="22">
        <v>1</v>
      </c>
      <c r="CB32" s="22">
        <v>0</v>
      </c>
      <c r="CC32" s="22">
        <v>1</v>
      </c>
      <c r="CD32" s="22">
        <v>0</v>
      </c>
      <c r="CE32" s="22">
        <v>1</v>
      </c>
      <c r="CF32" s="22">
        <f t="shared" si="8"/>
        <v>3</v>
      </c>
      <c r="CG32" s="22">
        <v>0</v>
      </c>
      <c r="CH32" s="22">
        <v>8</v>
      </c>
      <c r="CI32" s="23">
        <v>1</v>
      </c>
      <c r="CJ32" s="23">
        <v>0</v>
      </c>
      <c r="CK32" s="23">
        <v>0</v>
      </c>
      <c r="CL32" s="23">
        <v>0</v>
      </c>
      <c r="CM32" s="23">
        <v>8</v>
      </c>
      <c r="CN32" s="23" t="s">
        <v>203</v>
      </c>
      <c r="CO32" s="18" t="s">
        <v>361</v>
      </c>
      <c r="CP32" s="18" t="s">
        <v>205</v>
      </c>
      <c r="CQ32" s="18">
        <v>100</v>
      </c>
      <c r="CR32" s="18">
        <v>1500</v>
      </c>
      <c r="CS32" s="18" t="s">
        <v>206</v>
      </c>
      <c r="CT32" s="18" t="s">
        <v>207</v>
      </c>
      <c r="CU32" s="17">
        <f t="shared" si="21"/>
        <v>1240</v>
      </c>
      <c r="CV32" s="18" t="s">
        <v>208</v>
      </c>
      <c r="CW32" s="17">
        <v>2000</v>
      </c>
      <c r="CX32" s="21">
        <v>1.5</v>
      </c>
      <c r="CY32" s="17">
        <v>3000</v>
      </c>
      <c r="DB32" s="17">
        <v>1</v>
      </c>
      <c r="DC32" s="17">
        <v>1</v>
      </c>
      <c r="DD32" s="17">
        <v>3</v>
      </c>
      <c r="DE32" s="17">
        <v>140</v>
      </c>
      <c r="DF32" s="17">
        <v>18</v>
      </c>
      <c r="DG32" s="21">
        <v>10</v>
      </c>
      <c r="DH32" s="18">
        <v>4.5</v>
      </c>
      <c r="DI32" s="18">
        <v>137</v>
      </c>
      <c r="DJ32" s="18">
        <v>41</v>
      </c>
      <c r="DK32" s="17">
        <v>206</v>
      </c>
      <c r="DL32" s="21">
        <v>11.5</v>
      </c>
      <c r="DM32" s="21">
        <v>51</v>
      </c>
      <c r="DN32" s="18">
        <v>86</v>
      </c>
      <c r="DO32" s="18">
        <v>3.3</v>
      </c>
      <c r="DP32" s="21">
        <v>27</v>
      </c>
      <c r="DQ32" s="18">
        <v>3.1</v>
      </c>
      <c r="DR32" s="18">
        <v>23</v>
      </c>
      <c r="DU32" s="10">
        <v>54</v>
      </c>
      <c r="DV32" s="10">
        <v>41</v>
      </c>
      <c r="DW32" s="10">
        <v>1.1299999999999999</v>
      </c>
      <c r="DY32" s="18">
        <v>143</v>
      </c>
      <c r="DZ32" s="18">
        <v>3.2</v>
      </c>
      <c r="EA32" s="18">
        <v>106</v>
      </c>
      <c r="EB32" s="18"/>
      <c r="EC32" s="18"/>
      <c r="ED32" s="17">
        <v>303</v>
      </c>
      <c r="EE32" s="18">
        <v>7.52</v>
      </c>
      <c r="EF32" s="18">
        <v>27</v>
      </c>
      <c r="EG32" s="18">
        <v>80</v>
      </c>
      <c r="EH32" s="18">
        <v>22.4</v>
      </c>
      <c r="EI32" s="18">
        <f>EG32/0.21</f>
        <v>380.95238095238096</v>
      </c>
      <c r="EJ32" s="18">
        <f>EG32/EI32</f>
        <v>0.21</v>
      </c>
      <c r="EK32" s="10">
        <v>1.89</v>
      </c>
      <c r="EL32" s="18"/>
      <c r="EM32" s="18">
        <v>14</v>
      </c>
      <c r="EN32" s="22">
        <v>17</v>
      </c>
      <c r="EO32" s="22">
        <v>26.21158988083651</v>
      </c>
      <c r="EP32" s="18">
        <f t="shared" si="9"/>
        <v>1</v>
      </c>
      <c r="EQ32" s="18">
        <f t="shared" si="10"/>
        <v>0</v>
      </c>
      <c r="ER32" s="18">
        <f t="shared" si="11"/>
        <v>0</v>
      </c>
      <c r="ES32" s="18">
        <f t="shared" si="12"/>
        <v>1</v>
      </c>
      <c r="ET32" s="22">
        <v>1</v>
      </c>
      <c r="EU32" s="22">
        <v>0</v>
      </c>
      <c r="EV32" s="22">
        <v>1</v>
      </c>
      <c r="EW32" s="22">
        <v>0</v>
      </c>
      <c r="EX32" s="22">
        <v>1</v>
      </c>
      <c r="EY32" s="22">
        <f t="shared" si="13"/>
        <v>3</v>
      </c>
      <c r="EZ32" s="22">
        <v>6</v>
      </c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7">
        <v>303</v>
      </c>
      <c r="FT32" s="18"/>
      <c r="FU32" s="18"/>
      <c r="FV32" s="18"/>
      <c r="FW32" s="18"/>
      <c r="FX32" s="18"/>
      <c r="FY32" s="18"/>
      <c r="FZ32" s="18"/>
      <c r="GA32" s="18"/>
      <c r="GB32" s="22">
        <v>6</v>
      </c>
      <c r="GC32" s="22">
        <v>17</v>
      </c>
      <c r="GD32" s="22">
        <v>0</v>
      </c>
      <c r="GE32" s="18"/>
      <c r="GF32" s="18">
        <f t="shared" si="14"/>
        <v>0.75564516129032255</v>
      </c>
      <c r="GG32" s="17">
        <f>BI32-ED32</f>
        <v>937</v>
      </c>
      <c r="GH32" s="17">
        <f t="shared" si="16"/>
        <v>0</v>
      </c>
      <c r="GI32" s="17">
        <f t="shared" si="17"/>
        <v>11</v>
      </c>
    </row>
    <row r="33" spans="1:193" ht="18" customHeight="1" x14ac:dyDescent="0.45">
      <c r="A33" s="14">
        <v>31</v>
      </c>
      <c r="B33" s="35" t="s">
        <v>27</v>
      </c>
      <c r="C33" s="15" t="s">
        <v>28</v>
      </c>
      <c r="D33" s="16">
        <v>0</v>
      </c>
      <c r="E33" s="17">
        <v>1970</v>
      </c>
      <c r="F33" s="17">
        <f t="shared" si="0"/>
        <v>53</v>
      </c>
      <c r="G33" s="18" t="s">
        <v>237</v>
      </c>
      <c r="H33" s="18" t="s">
        <v>316</v>
      </c>
      <c r="I33" s="17">
        <v>0</v>
      </c>
      <c r="J33" s="18">
        <f t="shared" si="1"/>
        <v>3.2639999999999998</v>
      </c>
      <c r="K33" s="17">
        <v>68</v>
      </c>
      <c r="L33" s="17">
        <v>156</v>
      </c>
      <c r="M33" s="18">
        <f t="shared" si="2"/>
        <v>27.94214332675871</v>
      </c>
      <c r="N33" s="17">
        <v>1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9" t="s">
        <v>321</v>
      </c>
      <c r="W33" s="17">
        <v>24</v>
      </c>
      <c r="X33" s="20">
        <v>16</v>
      </c>
      <c r="Y33" s="17">
        <v>1</v>
      </c>
      <c r="Z33" s="17">
        <v>8</v>
      </c>
      <c r="AA33" s="17">
        <v>90</v>
      </c>
      <c r="AB33" s="17">
        <v>130</v>
      </c>
      <c r="AC33" s="17">
        <v>70</v>
      </c>
      <c r="AD33" s="18">
        <f t="shared" si="3"/>
        <v>90</v>
      </c>
      <c r="AE33" s="18">
        <v>18</v>
      </c>
      <c r="AF33" s="17">
        <v>37</v>
      </c>
      <c r="AG33" s="17">
        <v>1</v>
      </c>
      <c r="AH33" s="17">
        <v>1</v>
      </c>
      <c r="AI33" s="17">
        <v>0</v>
      </c>
      <c r="AJ33" s="17">
        <v>12</v>
      </c>
      <c r="AK33" s="18">
        <v>8.9</v>
      </c>
      <c r="AL33" s="18">
        <v>3.7</v>
      </c>
      <c r="AM33" s="18">
        <v>192</v>
      </c>
      <c r="AN33" s="18">
        <v>37</v>
      </c>
      <c r="AO33" s="18">
        <v>188</v>
      </c>
      <c r="AP33" s="18">
        <v>13</v>
      </c>
      <c r="AQ33" s="18">
        <v>36</v>
      </c>
      <c r="AR33" s="18">
        <v>2.5</v>
      </c>
      <c r="AT33" s="18"/>
      <c r="AV33" s="10">
        <v>49</v>
      </c>
      <c r="AW33" s="10">
        <v>39</v>
      </c>
      <c r="AX33" s="17">
        <v>4</v>
      </c>
      <c r="AY33" s="18">
        <v>0.3</v>
      </c>
      <c r="BA33" s="5">
        <v>0.37</v>
      </c>
      <c r="BB33" s="5">
        <v>1.82</v>
      </c>
      <c r="BC33" s="21">
        <v>14</v>
      </c>
      <c r="BD33" s="17">
        <v>125</v>
      </c>
      <c r="BE33" s="21">
        <v>5.9</v>
      </c>
      <c r="BF33" s="17">
        <v>104</v>
      </c>
      <c r="BG33" s="17">
        <v>595</v>
      </c>
      <c r="BI33" s="17">
        <v>2320</v>
      </c>
      <c r="BJ33" s="17">
        <v>120</v>
      </c>
      <c r="BK33" s="18"/>
      <c r="BL33" s="18"/>
      <c r="BM33" s="18">
        <v>7.26</v>
      </c>
      <c r="BN33" s="17">
        <v>28</v>
      </c>
      <c r="BO33" s="17">
        <v>213</v>
      </c>
      <c r="BP33" s="21">
        <v>13</v>
      </c>
      <c r="BQ33" s="21">
        <f>BO33/BR33</f>
        <v>394.4444444444444</v>
      </c>
      <c r="BR33" s="18">
        <v>0.54</v>
      </c>
      <c r="BS33" s="10">
        <v>2.14</v>
      </c>
      <c r="BT33" s="18">
        <v>2.2999999999999998</v>
      </c>
      <c r="BU33" s="20">
        <v>16</v>
      </c>
      <c r="BV33" s="22">
        <v>23.487244121563204</v>
      </c>
      <c r="BW33" s="18">
        <f t="shared" si="4"/>
        <v>1</v>
      </c>
      <c r="BX33" s="18">
        <f t="shared" si="5"/>
        <v>0</v>
      </c>
      <c r="BY33" s="18">
        <f t="shared" si="6"/>
        <v>0</v>
      </c>
      <c r="BZ33" s="18">
        <f t="shared" si="7"/>
        <v>1</v>
      </c>
      <c r="CA33" s="22">
        <v>0</v>
      </c>
      <c r="CB33" s="22">
        <v>1</v>
      </c>
      <c r="CC33" s="22">
        <v>1</v>
      </c>
      <c r="CD33" s="22">
        <v>0</v>
      </c>
      <c r="CE33" s="22">
        <v>0</v>
      </c>
      <c r="CF33" s="22">
        <f t="shared" si="8"/>
        <v>2</v>
      </c>
      <c r="CG33" s="22">
        <v>0</v>
      </c>
      <c r="CH33" s="22">
        <v>3</v>
      </c>
      <c r="CI33" s="23">
        <v>0</v>
      </c>
      <c r="CJ33" s="23">
        <v>1</v>
      </c>
      <c r="CK33" s="23">
        <v>0</v>
      </c>
      <c r="CL33" s="23">
        <v>0</v>
      </c>
      <c r="CM33" s="23">
        <v>4</v>
      </c>
      <c r="CN33" s="23" t="s">
        <v>219</v>
      </c>
      <c r="CO33" s="18" t="s">
        <v>322</v>
      </c>
      <c r="CP33" s="18" t="s">
        <v>205</v>
      </c>
      <c r="CQ33" s="18">
        <v>150</v>
      </c>
      <c r="CR33" s="18">
        <v>1500</v>
      </c>
      <c r="CS33" s="18" t="s">
        <v>236</v>
      </c>
      <c r="CT33" s="18" t="s">
        <v>207</v>
      </c>
      <c r="CU33" s="17">
        <f t="shared" si="21"/>
        <v>2320</v>
      </c>
      <c r="CV33" s="18" t="s">
        <v>209</v>
      </c>
      <c r="CW33" s="17">
        <v>2600</v>
      </c>
      <c r="CX33" s="21">
        <v>1.5</v>
      </c>
      <c r="CY33" s="17">
        <v>3900</v>
      </c>
      <c r="DB33" s="17">
        <v>1</v>
      </c>
      <c r="DC33" s="17">
        <v>1</v>
      </c>
      <c r="DD33" s="17">
        <v>3</v>
      </c>
      <c r="DE33" s="17">
        <v>70</v>
      </c>
      <c r="DF33" s="17">
        <v>16</v>
      </c>
      <c r="DG33" s="21">
        <v>8.6999999999999993</v>
      </c>
      <c r="DH33" s="18">
        <v>3.3</v>
      </c>
      <c r="DI33" s="18">
        <v>120</v>
      </c>
      <c r="DJ33" s="18">
        <v>32</v>
      </c>
      <c r="DK33" s="17">
        <v>101</v>
      </c>
      <c r="DL33" s="21">
        <v>14</v>
      </c>
      <c r="DM33" s="21">
        <v>36</v>
      </c>
      <c r="DN33" s="18"/>
      <c r="DO33" s="18">
        <v>6.5</v>
      </c>
      <c r="DP33" s="21">
        <v>29</v>
      </c>
      <c r="DQ33" s="18">
        <v>2.0499999999999998</v>
      </c>
      <c r="DR33" s="18">
        <v>36</v>
      </c>
      <c r="DS33" s="10">
        <v>33.200000000000003</v>
      </c>
      <c r="DU33" s="10">
        <v>38</v>
      </c>
      <c r="DV33" s="10">
        <v>23</v>
      </c>
      <c r="DW33" s="10">
        <v>0.56999999999999995</v>
      </c>
      <c r="DY33" s="18">
        <v>132</v>
      </c>
      <c r="DZ33" s="18">
        <v>3.3</v>
      </c>
      <c r="EA33" s="18">
        <v>110</v>
      </c>
      <c r="EB33" s="18"/>
      <c r="EC33" s="18"/>
      <c r="ED33" s="17">
        <v>258</v>
      </c>
      <c r="EE33" s="18">
        <v>7.4</v>
      </c>
      <c r="EF33" s="18">
        <v>30</v>
      </c>
      <c r="EG33" s="18">
        <v>114</v>
      </c>
      <c r="EH33" s="18">
        <v>18</v>
      </c>
      <c r="EI33" s="18">
        <f>EG33/0.21</f>
        <v>542.85714285714289</v>
      </c>
      <c r="EJ33" s="18">
        <v>0.3</v>
      </c>
      <c r="EK33" s="10">
        <v>1.18</v>
      </c>
      <c r="EL33" s="18">
        <v>1.88</v>
      </c>
      <c r="EM33" s="18">
        <v>15</v>
      </c>
      <c r="EN33" s="22">
        <v>11</v>
      </c>
      <c r="EO33" s="22">
        <v>12.886854903027482</v>
      </c>
      <c r="EP33" s="18">
        <f t="shared" si="9"/>
        <v>0</v>
      </c>
      <c r="EQ33" s="18">
        <f t="shared" si="10"/>
        <v>0</v>
      </c>
      <c r="ER33" s="18">
        <f t="shared" si="11"/>
        <v>1</v>
      </c>
      <c r="ES33" s="18">
        <f t="shared" si="12"/>
        <v>1</v>
      </c>
      <c r="ET33" s="22">
        <v>1</v>
      </c>
      <c r="EU33" s="22">
        <v>0</v>
      </c>
      <c r="EV33" s="22">
        <v>0</v>
      </c>
      <c r="EW33" s="22">
        <v>0</v>
      </c>
      <c r="EX33" s="22">
        <v>0</v>
      </c>
      <c r="EY33" s="22">
        <f t="shared" si="13"/>
        <v>1</v>
      </c>
      <c r="EZ33" s="22">
        <v>2</v>
      </c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7">
        <v>258</v>
      </c>
      <c r="FT33" s="18"/>
      <c r="FU33" s="18"/>
      <c r="FV33" s="18"/>
      <c r="FW33" s="18"/>
      <c r="FX33" s="18"/>
      <c r="FY33" s="18"/>
      <c r="FZ33" s="18"/>
      <c r="GA33" s="18"/>
      <c r="GB33" s="22">
        <v>2</v>
      </c>
      <c r="GC33" s="22">
        <v>11</v>
      </c>
      <c r="GD33" s="22">
        <v>0</v>
      </c>
      <c r="GE33" s="18"/>
      <c r="GF33" s="18">
        <f t="shared" si="14"/>
        <v>0.88879310344827589</v>
      </c>
      <c r="GG33" s="17">
        <f>BI33-FS33</f>
        <v>2062</v>
      </c>
      <c r="GH33" s="17">
        <f t="shared" si="16"/>
        <v>1</v>
      </c>
      <c r="GI33" s="17">
        <v>-6</v>
      </c>
    </row>
    <row r="34" spans="1:193" ht="18" customHeight="1" x14ac:dyDescent="0.45">
      <c r="A34" s="14">
        <v>32</v>
      </c>
      <c r="B34" s="35" t="s">
        <v>23</v>
      </c>
      <c r="C34" s="15" t="s">
        <v>24</v>
      </c>
      <c r="D34" s="16">
        <v>0</v>
      </c>
      <c r="E34" s="17">
        <v>1979</v>
      </c>
      <c r="F34" s="17">
        <f t="shared" si="0"/>
        <v>44</v>
      </c>
      <c r="G34" s="18" t="s">
        <v>211</v>
      </c>
      <c r="H34" s="18" t="s">
        <v>222</v>
      </c>
      <c r="I34" s="17">
        <v>1</v>
      </c>
      <c r="J34" s="18">
        <f t="shared" si="1"/>
        <v>3.12</v>
      </c>
      <c r="K34" s="17">
        <v>65</v>
      </c>
      <c r="L34" s="17">
        <v>168</v>
      </c>
      <c r="M34" s="18">
        <f t="shared" si="2"/>
        <v>23.030045351473927</v>
      </c>
      <c r="N34" s="17">
        <v>1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9" t="s">
        <v>258</v>
      </c>
      <c r="W34" s="17">
        <v>24</v>
      </c>
      <c r="X34" s="20">
        <v>29</v>
      </c>
      <c r="Y34" s="17">
        <v>2</v>
      </c>
      <c r="Z34" s="17">
        <v>8</v>
      </c>
      <c r="AA34" s="17">
        <v>160</v>
      </c>
      <c r="AB34" s="17">
        <v>170</v>
      </c>
      <c r="AC34" s="17">
        <v>90</v>
      </c>
      <c r="AD34" s="18">
        <f t="shared" si="3"/>
        <v>116.66666666666666</v>
      </c>
      <c r="AE34" s="18">
        <v>16</v>
      </c>
      <c r="AF34" s="17">
        <v>37</v>
      </c>
      <c r="AG34" s="17">
        <v>1</v>
      </c>
      <c r="AH34" s="17">
        <v>0</v>
      </c>
      <c r="AI34" s="17">
        <v>0</v>
      </c>
      <c r="AJ34" s="17">
        <v>6</v>
      </c>
      <c r="AK34" s="18">
        <v>20.7</v>
      </c>
      <c r="AL34" s="18">
        <v>5.2</v>
      </c>
      <c r="AM34" s="18">
        <v>219</v>
      </c>
      <c r="AN34" s="18">
        <v>47</v>
      </c>
      <c r="AO34" s="18">
        <v>273</v>
      </c>
      <c r="AP34" s="18">
        <v>14.5</v>
      </c>
      <c r="AQ34" s="18">
        <v>35</v>
      </c>
      <c r="AR34" s="18">
        <v>6.89</v>
      </c>
      <c r="AT34" s="18"/>
      <c r="AX34" s="17">
        <v>14</v>
      </c>
      <c r="AY34" s="18">
        <v>0.85</v>
      </c>
      <c r="BA34" s="5">
        <v>0.61</v>
      </c>
      <c r="BB34" s="5">
        <v>0.05</v>
      </c>
      <c r="BC34" s="21">
        <v>110</v>
      </c>
      <c r="BD34" s="17">
        <v>116</v>
      </c>
      <c r="BE34" s="21">
        <v>3.6</v>
      </c>
      <c r="BF34" s="17">
        <v>87</v>
      </c>
      <c r="BH34" s="17">
        <v>480</v>
      </c>
      <c r="BI34" s="17">
        <v>11440</v>
      </c>
      <c r="BJ34" s="17">
        <v>120</v>
      </c>
      <c r="BK34" s="18">
        <v>8.9</v>
      </c>
      <c r="BL34" s="18">
        <v>20</v>
      </c>
      <c r="BM34" s="18">
        <v>7.24</v>
      </c>
      <c r="BN34" s="17">
        <v>34</v>
      </c>
      <c r="BO34" s="17">
        <v>97</v>
      </c>
      <c r="BP34" s="21">
        <v>14.7</v>
      </c>
      <c r="BQ34" s="21">
        <f>BO34/BR34</f>
        <v>167.24137931034483</v>
      </c>
      <c r="BR34" s="18">
        <v>0.57999999999999996</v>
      </c>
      <c r="BS34" s="10">
        <v>1.95</v>
      </c>
      <c r="BT34" s="18">
        <v>4</v>
      </c>
      <c r="BU34" s="20">
        <v>29</v>
      </c>
      <c r="BV34" s="22">
        <v>67.194605485035481</v>
      </c>
      <c r="BW34" s="18">
        <f t="shared" si="4"/>
        <v>1</v>
      </c>
      <c r="BX34" s="18">
        <f t="shared" si="5"/>
        <v>0</v>
      </c>
      <c r="BY34" s="18">
        <f t="shared" si="6"/>
        <v>0</v>
      </c>
      <c r="BZ34" s="18">
        <f t="shared" si="7"/>
        <v>1</v>
      </c>
      <c r="CA34" s="22">
        <v>0</v>
      </c>
      <c r="CB34" s="22">
        <v>1</v>
      </c>
      <c r="CC34" s="22">
        <v>1</v>
      </c>
      <c r="CD34" s="22">
        <v>0</v>
      </c>
      <c r="CE34" s="22">
        <v>1</v>
      </c>
      <c r="CF34" s="22">
        <f t="shared" si="8"/>
        <v>3</v>
      </c>
      <c r="CG34" s="22">
        <v>1</v>
      </c>
      <c r="CH34" s="22">
        <v>6</v>
      </c>
      <c r="CI34" s="23">
        <v>0</v>
      </c>
      <c r="CJ34" s="23">
        <v>0</v>
      </c>
      <c r="CK34" s="23">
        <v>0</v>
      </c>
      <c r="CL34" s="23">
        <v>0</v>
      </c>
      <c r="CM34" s="23">
        <v>4</v>
      </c>
      <c r="CN34" s="23" t="s">
        <v>203</v>
      </c>
      <c r="CO34" s="18" t="s">
        <v>259</v>
      </c>
      <c r="CP34" s="18" t="s">
        <v>499</v>
      </c>
      <c r="CQ34" s="18">
        <v>100</v>
      </c>
      <c r="CR34" s="18">
        <v>1500</v>
      </c>
      <c r="CS34" s="18" t="s">
        <v>206</v>
      </c>
      <c r="CT34" s="18" t="s">
        <v>207</v>
      </c>
      <c r="CU34" s="17">
        <f t="shared" si="21"/>
        <v>11440</v>
      </c>
      <c r="CV34" s="18" t="s">
        <v>208</v>
      </c>
      <c r="CW34" s="17">
        <v>2200</v>
      </c>
      <c r="CX34" s="21">
        <v>1.5</v>
      </c>
      <c r="CY34" s="17">
        <v>3200</v>
      </c>
      <c r="DB34" s="17">
        <v>1</v>
      </c>
      <c r="DC34" s="17">
        <v>1</v>
      </c>
      <c r="DD34" s="17">
        <v>3</v>
      </c>
      <c r="DE34" s="17">
        <v>150</v>
      </c>
      <c r="DF34" s="17">
        <v>12</v>
      </c>
      <c r="DG34" s="21">
        <v>13.5</v>
      </c>
      <c r="DH34" s="18">
        <v>3.5</v>
      </c>
      <c r="DI34" s="18">
        <v>126</v>
      </c>
      <c r="DJ34" s="18">
        <v>30</v>
      </c>
      <c r="DK34" s="17">
        <v>174</v>
      </c>
      <c r="DL34" s="21">
        <v>15</v>
      </c>
      <c r="DM34" s="21">
        <v>35</v>
      </c>
      <c r="DN34" s="18">
        <v>234</v>
      </c>
      <c r="DO34" s="18">
        <v>4.8</v>
      </c>
      <c r="DP34" s="21">
        <v>8</v>
      </c>
      <c r="DQ34" s="18">
        <v>0.7</v>
      </c>
      <c r="DR34" s="18">
        <v>106</v>
      </c>
      <c r="DY34" s="18">
        <v>140</v>
      </c>
      <c r="DZ34" s="18">
        <v>3.3</v>
      </c>
      <c r="EA34" s="18">
        <v>105</v>
      </c>
      <c r="EB34" s="18"/>
      <c r="EC34" s="18"/>
      <c r="ED34" s="17">
        <v>2570</v>
      </c>
      <c r="EE34" s="18">
        <v>7.3</v>
      </c>
      <c r="EF34" s="18">
        <v>35</v>
      </c>
      <c r="EG34" s="18">
        <v>86</v>
      </c>
      <c r="EH34" s="18">
        <v>18</v>
      </c>
      <c r="EI34" s="18">
        <f>EG34/0.3</f>
        <v>286.66666666666669</v>
      </c>
      <c r="EJ34" s="18">
        <f>EG34/EI34</f>
        <v>0.3</v>
      </c>
      <c r="EL34" s="18"/>
      <c r="EM34" s="18">
        <v>13</v>
      </c>
      <c r="EN34" s="22">
        <v>12</v>
      </c>
      <c r="EO34" s="22">
        <v>14.616523039738205</v>
      </c>
      <c r="EP34" s="18">
        <f t="shared" si="9"/>
        <v>1</v>
      </c>
      <c r="EQ34" s="18">
        <f t="shared" si="10"/>
        <v>0</v>
      </c>
      <c r="ER34" s="18">
        <f t="shared" si="11"/>
        <v>0</v>
      </c>
      <c r="ES34" s="18">
        <f t="shared" si="12"/>
        <v>1</v>
      </c>
      <c r="ET34" s="22">
        <v>0</v>
      </c>
      <c r="EU34" s="22">
        <v>0</v>
      </c>
      <c r="EV34" s="22">
        <v>1</v>
      </c>
      <c r="EW34" s="22">
        <v>0</v>
      </c>
      <c r="EX34" s="22">
        <v>1</v>
      </c>
      <c r="EY34" s="22">
        <f t="shared" si="13"/>
        <v>2</v>
      </c>
      <c r="EZ34" s="22">
        <v>5</v>
      </c>
      <c r="FA34" s="18" t="s">
        <v>260</v>
      </c>
      <c r="FB34" s="18" t="s">
        <v>208</v>
      </c>
      <c r="FC34" s="18">
        <v>12</v>
      </c>
      <c r="FD34" s="18">
        <v>117</v>
      </c>
      <c r="FE34" s="18">
        <v>30</v>
      </c>
      <c r="FF34" s="18">
        <v>160</v>
      </c>
      <c r="FG34" s="18">
        <v>15.6</v>
      </c>
      <c r="FH34" s="18">
        <v>56</v>
      </c>
      <c r="FI34" s="18"/>
      <c r="FJ34" s="18">
        <v>5.3</v>
      </c>
      <c r="FK34" s="18">
        <v>16</v>
      </c>
      <c r="FL34" s="18">
        <v>0.6</v>
      </c>
      <c r="FM34" s="18">
        <v>112</v>
      </c>
      <c r="FN34" s="18">
        <v>134</v>
      </c>
      <c r="FO34" s="18">
        <v>2.2999999999999998</v>
      </c>
      <c r="FP34" s="18">
        <v>94</v>
      </c>
      <c r="FQ34" s="18"/>
      <c r="FR34" s="18"/>
      <c r="FS34" s="18">
        <v>567</v>
      </c>
      <c r="FT34" s="18">
        <v>7.37</v>
      </c>
      <c r="FU34" s="18">
        <v>37</v>
      </c>
      <c r="FV34" s="18">
        <v>91</v>
      </c>
      <c r="FW34" s="18">
        <v>22</v>
      </c>
      <c r="FX34" s="18">
        <v>0.21</v>
      </c>
      <c r="FY34" s="18">
        <v>433.33333333333337</v>
      </c>
      <c r="FZ34" s="18"/>
      <c r="GA34" s="18">
        <v>14</v>
      </c>
      <c r="GB34" s="22">
        <v>3</v>
      </c>
      <c r="GC34" s="22">
        <v>10</v>
      </c>
      <c r="GD34" s="22">
        <v>0</v>
      </c>
      <c r="GE34" s="22">
        <v>11.334697884966939</v>
      </c>
      <c r="GF34" s="18">
        <f t="shared" si="14"/>
        <v>0.77534965034965031</v>
      </c>
      <c r="GG34" s="17">
        <f t="shared" ref="GG34:GG44" si="22">BI34-ED34</f>
        <v>8870</v>
      </c>
      <c r="GH34" s="17">
        <f t="shared" si="16"/>
        <v>1</v>
      </c>
      <c r="GI34" s="17">
        <f t="shared" ref="GI34:GI65" si="23">BU34-GC34</f>
        <v>19</v>
      </c>
      <c r="GJ34" s="18">
        <f>ED34-FS34</f>
        <v>2003</v>
      </c>
      <c r="GK34" s="24">
        <f>GJ34/ED34</f>
        <v>0.77937743190661479</v>
      </c>
    </row>
    <row r="35" spans="1:193" ht="18" customHeight="1" x14ac:dyDescent="0.45">
      <c r="A35" s="14">
        <v>33</v>
      </c>
      <c r="B35" s="35" t="s">
        <v>467</v>
      </c>
      <c r="C35" s="15" t="s">
        <v>468</v>
      </c>
      <c r="D35" s="16">
        <v>0</v>
      </c>
      <c r="E35" s="17">
        <v>1985</v>
      </c>
      <c r="F35" s="17">
        <f t="shared" ref="F35:F66" si="24">(2023-E35)</f>
        <v>38</v>
      </c>
      <c r="G35" s="18" t="s">
        <v>200</v>
      </c>
      <c r="H35" s="18" t="s">
        <v>234</v>
      </c>
      <c r="I35" s="17">
        <v>0</v>
      </c>
      <c r="J35" s="18">
        <f t="shared" ref="J35:J66" si="25">K35*2*24/1000</f>
        <v>3.36</v>
      </c>
      <c r="K35" s="17">
        <v>70</v>
      </c>
      <c r="L35" s="17">
        <v>169</v>
      </c>
      <c r="M35" s="18">
        <v>24.5</v>
      </c>
      <c r="N35" s="17">
        <v>0</v>
      </c>
      <c r="O35" s="17">
        <v>0</v>
      </c>
      <c r="P35" s="17">
        <v>0</v>
      </c>
      <c r="Q35" s="17">
        <v>0</v>
      </c>
      <c r="R35" s="17">
        <v>1</v>
      </c>
      <c r="S35" s="17">
        <v>0</v>
      </c>
      <c r="T35" s="17">
        <v>0</v>
      </c>
      <c r="U35" s="17">
        <v>0</v>
      </c>
      <c r="V35" s="19">
        <v>43499</v>
      </c>
      <c r="W35" s="17">
        <v>48</v>
      </c>
      <c r="X35" s="20">
        <v>9</v>
      </c>
      <c r="Y35" s="17">
        <v>1</v>
      </c>
      <c r="Z35" s="17">
        <v>7</v>
      </c>
      <c r="AA35" s="17">
        <v>99</v>
      </c>
      <c r="AB35" s="17">
        <v>140</v>
      </c>
      <c r="AC35" s="17">
        <v>100</v>
      </c>
      <c r="AD35" s="18">
        <f t="shared" ref="AD35:AD66" si="26">AC35+1/3*(AB35-AC35)</f>
        <v>113.33333333333333</v>
      </c>
      <c r="AE35" s="18">
        <v>20</v>
      </c>
      <c r="AF35" s="17">
        <v>37</v>
      </c>
      <c r="AG35" s="17">
        <v>1</v>
      </c>
      <c r="AH35" s="17">
        <v>0</v>
      </c>
      <c r="AI35" s="17">
        <v>1</v>
      </c>
      <c r="AJ35" s="17">
        <v>13</v>
      </c>
      <c r="AK35" s="18">
        <v>15</v>
      </c>
      <c r="AL35" s="18">
        <v>4.2</v>
      </c>
      <c r="AM35" s="18">
        <v>162</v>
      </c>
      <c r="AN35" s="18">
        <v>38.5</v>
      </c>
      <c r="AO35" s="18">
        <v>175</v>
      </c>
      <c r="AP35" s="18">
        <v>11</v>
      </c>
      <c r="AQ35" s="18">
        <v>31</v>
      </c>
      <c r="AR35" s="18"/>
      <c r="AS35" s="21">
        <v>103</v>
      </c>
      <c r="AT35" s="18"/>
      <c r="AV35" s="10">
        <v>64</v>
      </c>
      <c r="AW35" s="10">
        <v>81</v>
      </c>
      <c r="AX35" s="17">
        <v>32</v>
      </c>
      <c r="AY35" s="18">
        <v>0.83</v>
      </c>
      <c r="BA35" s="5">
        <v>0.79</v>
      </c>
      <c r="BB35" s="5">
        <v>0.2</v>
      </c>
      <c r="BC35" s="21">
        <v>106</v>
      </c>
      <c r="BD35" s="17">
        <v>118</v>
      </c>
      <c r="BE35" s="21">
        <v>3.39</v>
      </c>
      <c r="BF35" s="17">
        <v>89</v>
      </c>
      <c r="BH35" s="17">
        <v>522</v>
      </c>
      <c r="BI35" s="17">
        <v>8592</v>
      </c>
      <c r="BJ35" s="17">
        <v>120</v>
      </c>
      <c r="BK35" s="18"/>
      <c r="BL35" s="18"/>
      <c r="BM35" s="18">
        <v>7.43</v>
      </c>
      <c r="BO35" s="17">
        <v>74</v>
      </c>
      <c r="BP35" s="21">
        <v>22</v>
      </c>
      <c r="BR35" s="18"/>
      <c r="BS35" s="10">
        <v>2.29</v>
      </c>
      <c r="BU35" s="20">
        <v>9</v>
      </c>
      <c r="BV35" s="22">
        <v>9.9481411429015392</v>
      </c>
      <c r="BW35" s="18">
        <f t="shared" ref="BW35:BW66" si="27">IF(AA35&gt;=90, 1, 0)</f>
        <v>1</v>
      </c>
      <c r="BX35" s="18">
        <f t="shared" ref="BX35:BX66" si="28">IF(AE35&gt;=21, 1, 0)</f>
        <v>0</v>
      </c>
      <c r="BY35" s="18">
        <f t="shared" ref="BY35:BY66" si="29">IF(AX35&gt;=28, 1, 0)</f>
        <v>1</v>
      </c>
      <c r="BZ35" s="18">
        <f t="shared" ref="BZ35:BZ66" si="30">SUM(BW35:BY35)</f>
        <v>2</v>
      </c>
      <c r="CA35" s="22">
        <v>1</v>
      </c>
      <c r="CB35" s="22">
        <v>0</v>
      </c>
      <c r="CC35" s="22">
        <v>1</v>
      </c>
      <c r="CD35" s="22">
        <v>0</v>
      </c>
      <c r="CE35" s="22">
        <v>0</v>
      </c>
      <c r="CF35" s="22">
        <f t="shared" ref="CF35:CF66" si="31">SUM(CA35:CE35)</f>
        <v>2</v>
      </c>
      <c r="CG35" s="22">
        <v>0</v>
      </c>
      <c r="CH35" s="22">
        <v>1</v>
      </c>
      <c r="CI35" s="23">
        <v>0</v>
      </c>
      <c r="CJ35" s="23">
        <v>1</v>
      </c>
      <c r="CK35" s="23">
        <v>0</v>
      </c>
      <c r="CL35" s="23">
        <v>0</v>
      </c>
      <c r="CM35" s="23">
        <v>5</v>
      </c>
      <c r="CN35" s="23" t="s">
        <v>219</v>
      </c>
      <c r="CO35" s="18" t="s">
        <v>416</v>
      </c>
      <c r="CP35" s="18" t="s">
        <v>235</v>
      </c>
      <c r="CQ35" s="18">
        <v>180</v>
      </c>
      <c r="CR35" s="18">
        <v>1200</v>
      </c>
      <c r="CS35" s="18" t="s">
        <v>236</v>
      </c>
      <c r="CT35" s="18" t="s">
        <v>207</v>
      </c>
      <c r="CU35" s="17">
        <f t="shared" si="21"/>
        <v>8592</v>
      </c>
      <c r="CV35" s="18" t="s">
        <v>209</v>
      </c>
      <c r="CW35" s="17">
        <v>3000</v>
      </c>
      <c r="CX35" s="21">
        <v>1.5</v>
      </c>
      <c r="CY35" s="17">
        <v>4000</v>
      </c>
      <c r="CZ35" s="17">
        <v>2000</v>
      </c>
      <c r="DA35" s="17">
        <v>700</v>
      </c>
      <c r="DB35" s="17">
        <v>1</v>
      </c>
      <c r="DC35" s="17">
        <v>0</v>
      </c>
      <c r="DD35" s="17">
        <v>3</v>
      </c>
      <c r="DE35" s="17">
        <v>89</v>
      </c>
      <c r="DF35" s="17">
        <v>18</v>
      </c>
      <c r="DG35" s="21">
        <v>18</v>
      </c>
      <c r="DH35" s="18">
        <v>4.4400000000000004</v>
      </c>
      <c r="DI35" s="18">
        <v>142</v>
      </c>
      <c r="DJ35" s="18">
        <v>40</v>
      </c>
      <c r="DK35" s="17">
        <v>161</v>
      </c>
      <c r="DL35" s="21">
        <v>12</v>
      </c>
      <c r="DM35" s="21">
        <v>64</v>
      </c>
      <c r="DN35" s="18"/>
      <c r="DO35" s="18"/>
      <c r="DP35" s="21">
        <v>15.58</v>
      </c>
      <c r="DQ35" s="18">
        <v>0.96</v>
      </c>
      <c r="DR35" s="18">
        <v>89</v>
      </c>
      <c r="DT35" s="10">
        <v>214.42</v>
      </c>
      <c r="DW35" s="10">
        <v>0.82</v>
      </c>
      <c r="DY35" s="18">
        <v>132</v>
      </c>
      <c r="DZ35" s="18">
        <v>3.18</v>
      </c>
      <c r="EA35" s="18">
        <v>102</v>
      </c>
      <c r="EB35" s="18"/>
      <c r="EC35" s="18"/>
      <c r="ED35" s="17">
        <v>965.5</v>
      </c>
      <c r="EE35" s="18">
        <v>7.37</v>
      </c>
      <c r="EF35" s="18">
        <v>42</v>
      </c>
      <c r="EG35" s="18">
        <v>90</v>
      </c>
      <c r="EH35" s="18">
        <v>24</v>
      </c>
      <c r="EI35" s="18">
        <f>EG35/0.21</f>
        <v>428.57142857142861</v>
      </c>
      <c r="EJ35" s="18">
        <f>EG35/EI35</f>
        <v>0.21</v>
      </c>
      <c r="EK35" s="10">
        <v>2.2599999999999998</v>
      </c>
      <c r="EL35" s="18"/>
      <c r="EM35" s="18">
        <v>14</v>
      </c>
      <c r="EN35" s="22">
        <v>5</v>
      </c>
      <c r="EO35" s="22">
        <v>5.8030727493148637</v>
      </c>
      <c r="EP35" s="18">
        <f t="shared" ref="EP35:EP66" si="32">IF(DE35&gt;=90, 1, 0)</f>
        <v>0</v>
      </c>
      <c r="EQ35" s="18">
        <f t="shared" ref="EQ35:EQ66" si="33">IF(DF35&gt;=21, 1, 0)</f>
        <v>0</v>
      </c>
      <c r="ER35" s="18">
        <f t="shared" ref="ER35:ER66" si="34">IF(DP35&gt;=28, 1, 0)</f>
        <v>0</v>
      </c>
      <c r="ES35" s="18">
        <f t="shared" ref="ES35:ES66" si="35">SUM(EP35:ER35)</f>
        <v>0</v>
      </c>
      <c r="ET35" s="22">
        <v>0</v>
      </c>
      <c r="EU35" s="22">
        <v>0</v>
      </c>
      <c r="EV35" s="22">
        <v>1</v>
      </c>
      <c r="EW35" s="22">
        <v>0</v>
      </c>
      <c r="EX35" s="22">
        <v>0</v>
      </c>
      <c r="EY35" s="22">
        <f t="shared" ref="EY35:EY66" si="36">SUM(ET35:EX35)</f>
        <v>1</v>
      </c>
      <c r="EZ35" s="22">
        <v>0</v>
      </c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7">
        <v>965.5</v>
      </c>
      <c r="FT35" s="18"/>
      <c r="FU35" s="18"/>
      <c r="FV35" s="18"/>
      <c r="FW35" s="18"/>
      <c r="FX35" s="18"/>
      <c r="FY35" s="18"/>
      <c r="FZ35" s="18"/>
      <c r="GA35" s="18"/>
      <c r="GB35" s="22">
        <v>0</v>
      </c>
      <c r="GC35" s="22">
        <v>5</v>
      </c>
      <c r="GD35" s="22">
        <v>0</v>
      </c>
      <c r="GE35" s="18"/>
      <c r="GF35" s="18">
        <f t="shared" ref="GF35:GF66" si="37">GG35/BI35</f>
        <v>0.88762802607076352</v>
      </c>
      <c r="GG35" s="17">
        <f t="shared" si="22"/>
        <v>7626.5</v>
      </c>
      <c r="GH35" s="17">
        <f t="shared" ref="GH35:GH66" si="38">CF35-EY35</f>
        <v>1</v>
      </c>
      <c r="GI35" s="17">
        <f t="shared" si="23"/>
        <v>4</v>
      </c>
    </row>
    <row r="36" spans="1:193" ht="18" customHeight="1" x14ac:dyDescent="0.45">
      <c r="A36" s="14">
        <v>34</v>
      </c>
      <c r="B36" s="35" t="s">
        <v>15</v>
      </c>
      <c r="C36" s="15" t="s">
        <v>16</v>
      </c>
      <c r="D36" s="16">
        <v>0</v>
      </c>
      <c r="E36" s="17">
        <v>2001</v>
      </c>
      <c r="F36" s="17">
        <f t="shared" si="24"/>
        <v>22</v>
      </c>
      <c r="G36" s="18" t="s">
        <v>237</v>
      </c>
      <c r="H36" s="18" t="s">
        <v>234</v>
      </c>
      <c r="I36" s="17">
        <v>1</v>
      </c>
      <c r="J36" s="18">
        <f t="shared" si="25"/>
        <v>2.88</v>
      </c>
      <c r="K36" s="17">
        <v>60</v>
      </c>
      <c r="L36" s="17">
        <v>164</v>
      </c>
      <c r="M36" s="18">
        <f t="shared" ref="M36:M42" si="39">K36/(L36/100)^2</f>
        <v>22.308149910767405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9">
        <v>44775</v>
      </c>
      <c r="W36" s="17">
        <v>48</v>
      </c>
      <c r="X36" s="20">
        <v>35</v>
      </c>
      <c r="Y36" s="17">
        <v>1</v>
      </c>
      <c r="Z36" s="17">
        <v>7</v>
      </c>
      <c r="AA36" s="17">
        <v>170</v>
      </c>
      <c r="AB36" s="17">
        <v>80</v>
      </c>
      <c r="AC36" s="17">
        <v>40</v>
      </c>
      <c r="AD36" s="18">
        <f t="shared" si="26"/>
        <v>53.333333333333329</v>
      </c>
      <c r="AE36" s="18">
        <v>41</v>
      </c>
      <c r="AF36" s="17">
        <v>41</v>
      </c>
      <c r="AG36" s="17">
        <v>1</v>
      </c>
      <c r="AH36" s="17">
        <v>1</v>
      </c>
      <c r="AI36" s="17">
        <v>1</v>
      </c>
      <c r="AJ36" s="17">
        <v>4</v>
      </c>
      <c r="AK36" s="18">
        <v>10.3</v>
      </c>
      <c r="AL36" s="18">
        <v>4.0199999999999996</v>
      </c>
      <c r="AM36" s="18">
        <v>128</v>
      </c>
      <c r="AN36" s="18">
        <v>33.5</v>
      </c>
      <c r="AO36" s="18">
        <v>76</v>
      </c>
      <c r="AP36" s="18">
        <v>30.3</v>
      </c>
      <c r="AQ36" s="18">
        <v>57.5</v>
      </c>
      <c r="AR36" s="18">
        <v>4.9800000000000004</v>
      </c>
      <c r="AT36" s="18"/>
      <c r="AV36" s="10">
        <v>25</v>
      </c>
      <c r="AW36" s="10">
        <v>24</v>
      </c>
      <c r="AX36" s="17">
        <v>32.200000000000003</v>
      </c>
      <c r="AY36" s="18">
        <v>2.44</v>
      </c>
      <c r="BA36" s="5">
        <v>1.19</v>
      </c>
      <c r="BB36" s="5">
        <v>0.85</v>
      </c>
      <c r="BC36" s="21">
        <v>27.37</v>
      </c>
      <c r="BD36" s="17">
        <v>131.79</v>
      </c>
      <c r="BE36" s="21">
        <v>3.23</v>
      </c>
      <c r="BF36" s="17">
        <v>108.7</v>
      </c>
      <c r="BG36" s="17">
        <v>1171</v>
      </c>
      <c r="BH36" s="17">
        <v>970</v>
      </c>
      <c r="BI36" s="17">
        <v>3059</v>
      </c>
      <c r="BJ36" s="17">
        <v>120</v>
      </c>
      <c r="BK36" s="18"/>
      <c r="BL36" s="18">
        <v>0</v>
      </c>
      <c r="BM36" s="18">
        <v>7.29</v>
      </c>
      <c r="BN36" s="17">
        <v>33.6</v>
      </c>
      <c r="BO36" s="17">
        <v>303</v>
      </c>
      <c r="BP36" s="21">
        <v>16.2</v>
      </c>
      <c r="BQ36" s="21">
        <f>BO36/BR36</f>
        <v>513.5593220338983</v>
      </c>
      <c r="BR36" s="18">
        <v>0.59</v>
      </c>
      <c r="BT36" s="18">
        <v>2.2000000000000002</v>
      </c>
      <c r="BU36" s="20">
        <v>35</v>
      </c>
      <c r="BV36" s="22">
        <v>83.103776350372399</v>
      </c>
      <c r="BW36" s="18">
        <f t="shared" si="27"/>
        <v>1</v>
      </c>
      <c r="BX36" s="18">
        <f t="shared" si="28"/>
        <v>1</v>
      </c>
      <c r="BY36" s="18">
        <f t="shared" si="29"/>
        <v>1</v>
      </c>
      <c r="BZ36" s="18">
        <f t="shared" si="30"/>
        <v>3</v>
      </c>
      <c r="CA36" s="22">
        <v>1</v>
      </c>
      <c r="CB36" s="22">
        <v>1</v>
      </c>
      <c r="CC36" s="22">
        <v>1</v>
      </c>
      <c r="CD36" s="22">
        <v>0</v>
      </c>
      <c r="CE36" s="22">
        <v>0</v>
      </c>
      <c r="CF36" s="22">
        <f t="shared" si="31"/>
        <v>3</v>
      </c>
      <c r="CG36" s="22">
        <v>0</v>
      </c>
      <c r="CH36" s="22">
        <v>9</v>
      </c>
      <c r="CI36" s="23">
        <v>0</v>
      </c>
      <c r="CJ36" s="23">
        <v>1</v>
      </c>
      <c r="CK36" s="23">
        <v>0</v>
      </c>
      <c r="CL36" s="23">
        <v>0</v>
      </c>
      <c r="CM36" s="23">
        <v>4</v>
      </c>
      <c r="CN36" s="23" t="s">
        <v>219</v>
      </c>
      <c r="CO36" s="18" t="s">
        <v>354</v>
      </c>
      <c r="CP36" s="18" t="s">
        <v>235</v>
      </c>
      <c r="CQ36" s="18">
        <v>180</v>
      </c>
      <c r="CR36" s="18">
        <v>1500</v>
      </c>
      <c r="CS36" s="18" t="s">
        <v>236</v>
      </c>
      <c r="CT36" s="18" t="s">
        <v>207</v>
      </c>
      <c r="CU36" s="17">
        <f t="shared" si="21"/>
        <v>3059</v>
      </c>
      <c r="CV36" s="18" t="s">
        <v>208</v>
      </c>
      <c r="CW36" s="17">
        <v>2700</v>
      </c>
      <c r="CX36" s="21">
        <v>1.5</v>
      </c>
      <c r="CY36" s="17">
        <v>4000</v>
      </c>
      <c r="DB36" s="17">
        <v>1</v>
      </c>
      <c r="DC36" s="17">
        <v>2</v>
      </c>
      <c r="DD36" s="17">
        <v>3</v>
      </c>
      <c r="DE36" s="17">
        <v>150</v>
      </c>
      <c r="DF36" s="17">
        <v>38</v>
      </c>
      <c r="DG36" s="21">
        <v>4.8</v>
      </c>
      <c r="DH36" s="18">
        <v>1.78</v>
      </c>
      <c r="DI36" s="18">
        <v>51</v>
      </c>
      <c r="DJ36" s="18">
        <v>14.5</v>
      </c>
      <c r="DK36" s="17">
        <v>50</v>
      </c>
      <c r="DL36" s="21">
        <v>16.7</v>
      </c>
      <c r="DM36" s="21">
        <v>32.9</v>
      </c>
      <c r="DN36" s="18"/>
      <c r="DO36" s="18">
        <v>2.58</v>
      </c>
      <c r="DP36" s="21">
        <v>27.9</v>
      </c>
      <c r="DQ36" s="18">
        <v>2.62</v>
      </c>
      <c r="DR36" s="18">
        <v>25.11</v>
      </c>
      <c r="DY36" s="18">
        <v>140</v>
      </c>
      <c r="DZ36" s="18">
        <v>2.93</v>
      </c>
      <c r="EA36" s="18">
        <v>107.8</v>
      </c>
      <c r="EB36" s="18"/>
      <c r="EC36" s="18"/>
      <c r="ED36" s="17">
        <v>291</v>
      </c>
      <c r="EE36" s="18">
        <v>7.42</v>
      </c>
      <c r="EF36" s="18">
        <v>39.799999999999997</v>
      </c>
      <c r="EG36" s="18">
        <v>165</v>
      </c>
      <c r="EH36" s="18">
        <v>26</v>
      </c>
      <c r="EI36" s="18">
        <v>543</v>
      </c>
      <c r="EJ36" s="18">
        <f>EG36/EI36</f>
        <v>0.30386740331491713</v>
      </c>
      <c r="EK36" s="10">
        <v>1.08</v>
      </c>
      <c r="EL36" s="18"/>
      <c r="EM36" s="18">
        <v>14</v>
      </c>
      <c r="EN36" s="22">
        <v>25</v>
      </c>
      <c r="EO36" s="22">
        <v>53.320107327383035</v>
      </c>
      <c r="EP36" s="18">
        <f t="shared" si="32"/>
        <v>1</v>
      </c>
      <c r="EQ36" s="18">
        <f t="shared" si="33"/>
        <v>1</v>
      </c>
      <c r="ER36" s="18">
        <f t="shared" si="34"/>
        <v>0</v>
      </c>
      <c r="ES36" s="18">
        <f t="shared" si="35"/>
        <v>2</v>
      </c>
      <c r="ET36" s="22">
        <v>1</v>
      </c>
      <c r="EU36" s="22">
        <v>0</v>
      </c>
      <c r="EV36" s="22">
        <v>0</v>
      </c>
      <c r="EW36" s="22">
        <v>0</v>
      </c>
      <c r="EX36" s="22">
        <v>0</v>
      </c>
      <c r="EY36" s="22">
        <f t="shared" si="36"/>
        <v>1</v>
      </c>
      <c r="EZ36" s="22">
        <v>9</v>
      </c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7">
        <v>291</v>
      </c>
      <c r="FT36" s="18"/>
      <c r="FU36" s="18"/>
      <c r="FV36" s="18"/>
      <c r="FW36" s="18"/>
      <c r="FX36" s="18"/>
      <c r="FY36" s="18"/>
      <c r="FZ36" s="18"/>
      <c r="GA36" s="18"/>
      <c r="GB36" s="22">
        <v>9</v>
      </c>
      <c r="GC36" s="22">
        <v>25</v>
      </c>
      <c r="GD36" s="22">
        <v>0</v>
      </c>
      <c r="GE36" s="18"/>
      <c r="GF36" s="18">
        <f t="shared" si="37"/>
        <v>0.9048708728342596</v>
      </c>
      <c r="GG36" s="17">
        <f t="shared" si="22"/>
        <v>2768</v>
      </c>
      <c r="GH36" s="17">
        <f t="shared" si="38"/>
        <v>2</v>
      </c>
      <c r="GI36" s="17">
        <f t="shared" si="23"/>
        <v>10</v>
      </c>
    </row>
    <row r="37" spans="1:193" ht="18" customHeight="1" x14ac:dyDescent="0.45">
      <c r="A37" s="14">
        <v>35</v>
      </c>
      <c r="B37" s="35" t="s">
        <v>8</v>
      </c>
      <c r="C37" s="15" t="s">
        <v>9</v>
      </c>
      <c r="D37" s="16">
        <v>0</v>
      </c>
      <c r="E37" s="17">
        <v>1994</v>
      </c>
      <c r="F37" s="17">
        <f t="shared" si="24"/>
        <v>29</v>
      </c>
      <c r="G37" s="18" t="s">
        <v>211</v>
      </c>
      <c r="H37" s="18" t="s">
        <v>410</v>
      </c>
      <c r="I37" s="17">
        <v>1</v>
      </c>
      <c r="J37" s="18">
        <f t="shared" si="25"/>
        <v>2.496</v>
      </c>
      <c r="K37" s="17">
        <v>52</v>
      </c>
      <c r="L37" s="17">
        <v>158</v>
      </c>
      <c r="M37" s="18">
        <f t="shared" si="39"/>
        <v>20.82999519307803</v>
      </c>
      <c r="N37" s="17">
        <v>0</v>
      </c>
      <c r="O37" s="17">
        <v>1</v>
      </c>
      <c r="P37" s="17">
        <v>0</v>
      </c>
      <c r="Q37" s="17">
        <v>0</v>
      </c>
      <c r="R37" s="17">
        <v>0</v>
      </c>
      <c r="S37" s="17">
        <v>0</v>
      </c>
      <c r="T37" s="17">
        <v>1</v>
      </c>
      <c r="U37" s="17">
        <v>2</v>
      </c>
      <c r="V37" s="19" t="s">
        <v>411</v>
      </c>
      <c r="W37" s="17">
        <v>72</v>
      </c>
      <c r="X37" s="20">
        <v>33</v>
      </c>
      <c r="Y37" s="17">
        <v>1</v>
      </c>
      <c r="Z37" s="17">
        <v>8</v>
      </c>
      <c r="AA37" s="17">
        <v>170</v>
      </c>
      <c r="AB37" s="17">
        <v>60</v>
      </c>
      <c r="AC37" s="17">
        <v>30</v>
      </c>
      <c r="AD37" s="18">
        <f t="shared" si="26"/>
        <v>40</v>
      </c>
      <c r="AE37" s="18">
        <v>20</v>
      </c>
      <c r="AF37" s="17">
        <v>37</v>
      </c>
      <c r="AG37" s="17">
        <v>0</v>
      </c>
      <c r="AH37" s="17">
        <v>0</v>
      </c>
      <c r="AI37" s="17">
        <v>0</v>
      </c>
      <c r="AJ37" s="17">
        <v>4</v>
      </c>
      <c r="AK37" s="18">
        <v>12.4</v>
      </c>
      <c r="AL37" s="18">
        <v>6.2</v>
      </c>
      <c r="AM37" s="18">
        <v>232</v>
      </c>
      <c r="AN37" s="18">
        <v>54</v>
      </c>
      <c r="AO37" s="18">
        <v>274</v>
      </c>
      <c r="AP37" s="18">
        <v>19.5</v>
      </c>
      <c r="AQ37" s="18">
        <v>39.5</v>
      </c>
      <c r="AR37" s="18">
        <v>4.9000000000000004</v>
      </c>
      <c r="AS37" s="21">
        <v>124</v>
      </c>
      <c r="AT37" s="18"/>
      <c r="AV37" s="10">
        <v>22.48</v>
      </c>
      <c r="AW37" s="10">
        <v>4.5999999999999996</v>
      </c>
      <c r="AX37" s="17">
        <v>13</v>
      </c>
      <c r="AY37" s="18">
        <v>0.8</v>
      </c>
      <c r="AZ37" s="10">
        <v>27.9</v>
      </c>
      <c r="BC37" s="21">
        <v>108</v>
      </c>
      <c r="BD37" s="17">
        <v>105</v>
      </c>
      <c r="BE37" s="21">
        <v>4.8</v>
      </c>
      <c r="BF37" s="17">
        <v>81</v>
      </c>
      <c r="BH37" s="17">
        <v>457</v>
      </c>
      <c r="BI37" s="17">
        <v>13370</v>
      </c>
      <c r="BJ37" s="17">
        <v>120</v>
      </c>
      <c r="BK37" s="18">
        <v>7.3</v>
      </c>
      <c r="BL37" s="18">
        <v>60</v>
      </c>
      <c r="BM37" s="18">
        <v>7.18</v>
      </c>
      <c r="BN37" s="17">
        <v>16.2</v>
      </c>
      <c r="BO37" s="17">
        <v>195</v>
      </c>
      <c r="BP37" s="21">
        <v>6.1</v>
      </c>
      <c r="BQ37" s="21">
        <f>BO37/BR37</f>
        <v>325</v>
      </c>
      <c r="BR37" s="18">
        <v>0.6</v>
      </c>
      <c r="BT37" s="18">
        <v>1.7</v>
      </c>
      <c r="BU37" s="20">
        <v>33</v>
      </c>
      <c r="BV37" s="22">
        <v>78.600323329919746</v>
      </c>
      <c r="BW37" s="18">
        <f t="shared" si="27"/>
        <v>1</v>
      </c>
      <c r="BX37" s="18">
        <f t="shared" si="28"/>
        <v>0</v>
      </c>
      <c r="BY37" s="18">
        <f t="shared" si="29"/>
        <v>0</v>
      </c>
      <c r="BZ37" s="18">
        <f t="shared" si="30"/>
        <v>1</v>
      </c>
      <c r="CA37" s="22">
        <v>0</v>
      </c>
      <c r="CB37" s="22">
        <v>1</v>
      </c>
      <c r="CC37" s="22">
        <v>1</v>
      </c>
      <c r="CD37" s="22">
        <v>0</v>
      </c>
      <c r="CE37" s="22">
        <v>0</v>
      </c>
      <c r="CF37" s="22">
        <f t="shared" si="31"/>
        <v>2</v>
      </c>
      <c r="CG37" s="22">
        <v>0</v>
      </c>
      <c r="CH37" s="22">
        <v>6</v>
      </c>
      <c r="CI37" s="23">
        <v>0</v>
      </c>
      <c r="CJ37" s="23">
        <v>0</v>
      </c>
      <c r="CK37" s="23">
        <v>1</v>
      </c>
      <c r="CL37" s="23">
        <v>0</v>
      </c>
      <c r="CM37" s="23">
        <v>4</v>
      </c>
      <c r="CN37" s="23" t="s">
        <v>203</v>
      </c>
      <c r="CO37" s="18" t="s">
        <v>412</v>
      </c>
      <c r="CP37" s="18" t="s">
        <v>205</v>
      </c>
      <c r="CQ37" s="18">
        <v>100</v>
      </c>
      <c r="CR37" s="18">
        <v>1500</v>
      </c>
      <c r="CS37" s="18" t="s">
        <v>206</v>
      </c>
      <c r="CT37" s="18" t="s">
        <v>207</v>
      </c>
      <c r="CU37" s="17">
        <f t="shared" si="21"/>
        <v>13370</v>
      </c>
      <c r="CV37" s="18" t="s">
        <v>209</v>
      </c>
      <c r="CW37" s="17">
        <v>1700</v>
      </c>
      <c r="CX37" s="21">
        <v>1.5</v>
      </c>
      <c r="CY37" s="17">
        <v>2600</v>
      </c>
      <c r="DB37" s="17">
        <v>1</v>
      </c>
      <c r="DC37" s="17">
        <v>1</v>
      </c>
      <c r="DD37" s="17">
        <v>3</v>
      </c>
      <c r="DE37" s="17">
        <v>150</v>
      </c>
      <c r="DF37" s="17">
        <v>17</v>
      </c>
      <c r="DG37" s="21">
        <v>8</v>
      </c>
      <c r="DH37" s="18">
        <v>4</v>
      </c>
      <c r="DI37" s="18">
        <v>121</v>
      </c>
      <c r="DJ37" s="18">
        <v>32.6</v>
      </c>
      <c r="DK37" s="17">
        <v>99</v>
      </c>
      <c r="DL37" s="21">
        <v>21</v>
      </c>
      <c r="DM37" s="21">
        <v>58</v>
      </c>
      <c r="DN37" s="18">
        <v>155</v>
      </c>
      <c r="DO37" s="18">
        <v>5</v>
      </c>
      <c r="DP37" s="21">
        <v>8</v>
      </c>
      <c r="DQ37" s="18">
        <v>0.7</v>
      </c>
      <c r="DR37" s="18">
        <v>110</v>
      </c>
      <c r="DS37" s="10">
        <v>38.1</v>
      </c>
      <c r="DU37" s="10">
        <v>14</v>
      </c>
      <c r="DV37" s="10">
        <v>4</v>
      </c>
      <c r="DW37" s="10">
        <v>0.92</v>
      </c>
      <c r="DX37" s="10">
        <v>0.2</v>
      </c>
      <c r="DY37" s="18">
        <v>137</v>
      </c>
      <c r="DZ37" s="18">
        <v>3.1</v>
      </c>
      <c r="EA37" s="18">
        <v>104</v>
      </c>
      <c r="EB37" s="18"/>
      <c r="EC37" s="18"/>
      <c r="ED37" s="17">
        <v>1883</v>
      </c>
      <c r="EE37" s="18">
        <v>7.5</v>
      </c>
      <c r="EF37" s="18">
        <v>19</v>
      </c>
      <c r="EG37" s="18">
        <v>138</v>
      </c>
      <c r="EH37" s="18">
        <v>15.5</v>
      </c>
      <c r="EI37" s="18">
        <f>EG37/EJ37</f>
        <v>460</v>
      </c>
      <c r="EJ37" s="18">
        <v>0.3</v>
      </c>
      <c r="EK37" s="10">
        <v>1.3</v>
      </c>
      <c r="EL37" s="5">
        <v>1.8</v>
      </c>
      <c r="EM37" s="18">
        <v>14</v>
      </c>
      <c r="EN37" s="22">
        <v>13</v>
      </c>
      <c r="EO37" s="22">
        <v>16.534282858797354</v>
      </c>
      <c r="EP37" s="18">
        <f t="shared" si="32"/>
        <v>1</v>
      </c>
      <c r="EQ37" s="18">
        <f t="shared" si="33"/>
        <v>0</v>
      </c>
      <c r="ER37" s="18">
        <f t="shared" si="34"/>
        <v>0</v>
      </c>
      <c r="ES37" s="18">
        <f t="shared" si="35"/>
        <v>1</v>
      </c>
      <c r="ET37" s="22">
        <v>0</v>
      </c>
      <c r="EU37" s="22">
        <v>0</v>
      </c>
      <c r="EV37" s="22">
        <v>0</v>
      </c>
      <c r="EW37" s="22">
        <v>0</v>
      </c>
      <c r="EX37" s="22">
        <v>0</v>
      </c>
      <c r="EY37" s="22">
        <f t="shared" si="36"/>
        <v>0</v>
      </c>
      <c r="EZ37" s="22">
        <v>5</v>
      </c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7">
        <v>1883</v>
      </c>
      <c r="FT37" s="18"/>
      <c r="FU37" s="18"/>
      <c r="FV37" s="18"/>
      <c r="FW37" s="18"/>
      <c r="FX37" s="18"/>
      <c r="FY37" s="18"/>
      <c r="FZ37" s="18"/>
      <c r="GA37" s="18"/>
      <c r="GB37" s="22">
        <v>5</v>
      </c>
      <c r="GC37" s="22">
        <v>13</v>
      </c>
      <c r="GD37" s="22">
        <v>0</v>
      </c>
      <c r="GE37" s="18"/>
      <c r="GF37" s="18">
        <f t="shared" si="37"/>
        <v>0.85916230366492141</v>
      </c>
      <c r="GG37" s="17">
        <f t="shared" si="22"/>
        <v>11487</v>
      </c>
      <c r="GH37" s="17">
        <f t="shared" si="38"/>
        <v>2</v>
      </c>
      <c r="GI37" s="17">
        <f t="shared" si="23"/>
        <v>20</v>
      </c>
    </row>
    <row r="38" spans="1:193" ht="18" customHeight="1" x14ac:dyDescent="0.45">
      <c r="A38" s="14">
        <v>36</v>
      </c>
      <c r="B38" s="35" t="s">
        <v>323</v>
      </c>
      <c r="C38" s="15" t="s">
        <v>324</v>
      </c>
      <c r="D38" s="16">
        <v>0</v>
      </c>
      <c r="E38" s="17">
        <v>1995</v>
      </c>
      <c r="F38" s="17">
        <f t="shared" si="24"/>
        <v>28</v>
      </c>
      <c r="G38" s="18" t="s">
        <v>237</v>
      </c>
      <c r="H38" s="18" t="s">
        <v>234</v>
      </c>
      <c r="I38" s="17">
        <v>1</v>
      </c>
      <c r="J38" s="18">
        <f t="shared" si="25"/>
        <v>2.16</v>
      </c>
      <c r="K38" s="17">
        <v>45</v>
      </c>
      <c r="L38" s="17">
        <v>154</v>
      </c>
      <c r="M38" s="18">
        <f t="shared" si="39"/>
        <v>18.974531961544947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1</v>
      </c>
      <c r="T38" s="17">
        <v>0</v>
      </c>
      <c r="U38" s="17">
        <v>0</v>
      </c>
      <c r="V38" s="19" t="s">
        <v>485</v>
      </c>
      <c r="W38" s="17">
        <v>12</v>
      </c>
      <c r="X38" s="20">
        <v>10</v>
      </c>
      <c r="Y38" s="17">
        <v>1</v>
      </c>
      <c r="Z38" s="17">
        <v>12</v>
      </c>
      <c r="AA38" s="17">
        <v>110</v>
      </c>
      <c r="AB38" s="17">
        <v>90</v>
      </c>
      <c r="AC38" s="17">
        <v>60</v>
      </c>
      <c r="AD38" s="18">
        <f t="shared" si="26"/>
        <v>70</v>
      </c>
      <c r="AE38" s="18">
        <v>22</v>
      </c>
      <c r="AF38" s="17">
        <v>37</v>
      </c>
      <c r="AG38" s="17">
        <v>1</v>
      </c>
      <c r="AH38" s="17">
        <v>0</v>
      </c>
      <c r="AI38" s="17">
        <v>0</v>
      </c>
      <c r="AJ38" s="17">
        <v>13</v>
      </c>
      <c r="AK38" s="18">
        <v>10.7</v>
      </c>
      <c r="AL38" s="18">
        <v>4</v>
      </c>
      <c r="AM38" s="18">
        <v>126</v>
      </c>
      <c r="AN38" s="18">
        <v>35.5</v>
      </c>
      <c r="AO38" s="18">
        <v>303</v>
      </c>
      <c r="AP38" s="18">
        <v>13</v>
      </c>
      <c r="AQ38" s="18">
        <v>35</v>
      </c>
      <c r="AR38" s="18"/>
      <c r="AT38" s="18"/>
      <c r="AX38" s="17">
        <v>7.8</v>
      </c>
      <c r="AY38" s="18">
        <v>0.57999999999999996</v>
      </c>
      <c r="AZ38" s="10">
        <v>33.200000000000003</v>
      </c>
      <c r="BC38" s="21">
        <v>123</v>
      </c>
      <c r="BD38" s="17">
        <v>127</v>
      </c>
      <c r="BE38" s="21">
        <v>3.51</v>
      </c>
      <c r="BF38" s="17">
        <v>92</v>
      </c>
      <c r="BI38" s="17">
        <v>5226</v>
      </c>
      <c r="BJ38" s="17">
        <v>134</v>
      </c>
      <c r="BK38" s="18"/>
      <c r="BL38" s="18"/>
      <c r="BM38" s="18">
        <v>7.4</v>
      </c>
      <c r="BN38" s="17">
        <v>32</v>
      </c>
      <c r="BO38" s="17">
        <v>88</v>
      </c>
      <c r="BP38" s="21">
        <v>20</v>
      </c>
      <c r="BQ38" s="21">
        <v>422</v>
      </c>
      <c r="BR38" s="18">
        <v>0.21</v>
      </c>
      <c r="BT38" s="18">
        <v>2.37</v>
      </c>
      <c r="BU38" s="20">
        <v>10</v>
      </c>
      <c r="BV38" s="22">
        <v>11.334697884966939</v>
      </c>
      <c r="BW38" s="18">
        <f t="shared" si="27"/>
        <v>1</v>
      </c>
      <c r="BX38" s="18">
        <f t="shared" si="28"/>
        <v>1</v>
      </c>
      <c r="BY38" s="18">
        <f t="shared" si="29"/>
        <v>0</v>
      </c>
      <c r="BZ38" s="18">
        <f t="shared" si="30"/>
        <v>2</v>
      </c>
      <c r="CA38" s="22">
        <v>0</v>
      </c>
      <c r="CB38" s="22">
        <v>0</v>
      </c>
      <c r="CC38" s="22">
        <v>1</v>
      </c>
      <c r="CD38" s="22">
        <v>0</v>
      </c>
      <c r="CE38" s="22">
        <v>0</v>
      </c>
      <c r="CF38" s="22">
        <f t="shared" si="31"/>
        <v>1</v>
      </c>
      <c r="CG38" s="22">
        <v>0</v>
      </c>
      <c r="CH38" s="22">
        <v>1</v>
      </c>
      <c r="CI38" s="23">
        <v>0</v>
      </c>
      <c r="CJ38" s="23">
        <v>1</v>
      </c>
      <c r="CK38" s="23">
        <v>0</v>
      </c>
      <c r="CL38" s="23">
        <v>0</v>
      </c>
      <c r="CM38" s="23">
        <v>4</v>
      </c>
      <c r="CN38" s="23" t="s">
        <v>219</v>
      </c>
      <c r="CO38" s="18" t="s">
        <v>486</v>
      </c>
      <c r="CP38" s="18" t="s">
        <v>235</v>
      </c>
      <c r="CQ38" s="18">
        <v>180</v>
      </c>
      <c r="CR38" s="18">
        <v>600</v>
      </c>
      <c r="CS38" s="18" t="s">
        <v>236</v>
      </c>
      <c r="CT38" s="18" t="s">
        <v>207</v>
      </c>
      <c r="CU38" s="17">
        <f t="shared" si="21"/>
        <v>5226</v>
      </c>
      <c r="CV38" s="18" t="s">
        <v>208</v>
      </c>
      <c r="CW38" s="17">
        <v>1850</v>
      </c>
      <c r="CX38" s="21">
        <v>1</v>
      </c>
      <c r="CY38" s="17">
        <v>2000</v>
      </c>
      <c r="CZ38" s="17">
        <v>1800</v>
      </c>
      <c r="DA38" s="17">
        <v>700</v>
      </c>
      <c r="DB38" s="17">
        <v>1</v>
      </c>
      <c r="DC38" s="17">
        <v>0</v>
      </c>
      <c r="DD38" s="17">
        <v>3</v>
      </c>
      <c r="DE38" s="17">
        <v>90</v>
      </c>
      <c r="DF38" s="17">
        <v>18</v>
      </c>
      <c r="DG38" s="21">
        <v>11.1</v>
      </c>
      <c r="DH38" s="18">
        <v>3.47</v>
      </c>
      <c r="DI38" s="18">
        <v>103</v>
      </c>
      <c r="DJ38" s="18">
        <v>29.7</v>
      </c>
      <c r="DK38" s="17">
        <v>233</v>
      </c>
      <c r="DL38" s="21">
        <v>13</v>
      </c>
      <c r="DM38" s="21">
        <v>35</v>
      </c>
      <c r="DN38" s="18"/>
      <c r="DO38" s="18"/>
      <c r="DP38" s="21">
        <v>10.19</v>
      </c>
      <c r="DQ38" s="18">
        <v>0.56000000000000005</v>
      </c>
      <c r="DR38" s="18">
        <v>128</v>
      </c>
      <c r="DY38" s="18">
        <v>132</v>
      </c>
      <c r="DZ38" s="18">
        <v>2.93</v>
      </c>
      <c r="EA38" s="18">
        <v>102</v>
      </c>
      <c r="EB38" s="18"/>
      <c r="EC38" s="18"/>
      <c r="ED38" s="17">
        <v>334</v>
      </c>
      <c r="EE38" s="18">
        <v>7.38</v>
      </c>
      <c r="EF38" s="18">
        <v>32</v>
      </c>
      <c r="EG38" s="18">
        <v>87</v>
      </c>
      <c r="EH38" s="18">
        <v>19</v>
      </c>
      <c r="EI38" s="18">
        <v>197</v>
      </c>
      <c r="EJ38" s="18">
        <v>0.44</v>
      </c>
      <c r="EL38" s="18">
        <v>1.35</v>
      </c>
      <c r="EM38" s="18">
        <v>15</v>
      </c>
      <c r="EN38" s="22">
        <v>10</v>
      </c>
      <c r="EO38" s="22">
        <v>11.334697884966939</v>
      </c>
      <c r="EP38" s="18">
        <f t="shared" si="32"/>
        <v>1</v>
      </c>
      <c r="EQ38" s="18">
        <f t="shared" si="33"/>
        <v>0</v>
      </c>
      <c r="ER38" s="18">
        <f t="shared" si="34"/>
        <v>0</v>
      </c>
      <c r="ES38" s="18">
        <f t="shared" si="35"/>
        <v>1</v>
      </c>
      <c r="ET38" s="22">
        <v>0</v>
      </c>
      <c r="EU38" s="22">
        <v>0</v>
      </c>
      <c r="EV38" s="22">
        <v>1</v>
      </c>
      <c r="EW38" s="22">
        <v>0</v>
      </c>
      <c r="EX38" s="22">
        <v>0</v>
      </c>
      <c r="EY38" s="22">
        <f t="shared" si="36"/>
        <v>1</v>
      </c>
      <c r="EZ38" s="22">
        <v>0</v>
      </c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7">
        <v>334</v>
      </c>
      <c r="FT38" s="18"/>
      <c r="FU38" s="18"/>
      <c r="FV38" s="18"/>
      <c r="FW38" s="18"/>
      <c r="FX38" s="18"/>
      <c r="FY38" s="18"/>
      <c r="FZ38" s="18"/>
      <c r="GA38" s="18"/>
      <c r="GB38" s="22">
        <v>0</v>
      </c>
      <c r="GC38" s="22">
        <v>10</v>
      </c>
      <c r="GD38" s="22">
        <v>0</v>
      </c>
      <c r="GE38" s="18"/>
      <c r="GF38" s="18">
        <f t="shared" si="37"/>
        <v>0.93608878683505548</v>
      </c>
      <c r="GG38" s="17">
        <f t="shared" si="22"/>
        <v>4892</v>
      </c>
      <c r="GH38" s="17">
        <f t="shared" si="38"/>
        <v>0</v>
      </c>
      <c r="GI38" s="17">
        <f t="shared" si="23"/>
        <v>0</v>
      </c>
    </row>
    <row r="39" spans="1:193" ht="18" customHeight="1" x14ac:dyDescent="0.45">
      <c r="A39" s="14">
        <v>37</v>
      </c>
      <c r="B39" s="35" t="s">
        <v>387</v>
      </c>
      <c r="C39" s="15" t="s">
        <v>506</v>
      </c>
      <c r="D39" s="16">
        <v>0</v>
      </c>
      <c r="E39" s="17">
        <v>1981</v>
      </c>
      <c r="F39" s="17">
        <f t="shared" si="24"/>
        <v>42</v>
      </c>
      <c r="G39" s="18" t="s">
        <v>211</v>
      </c>
      <c r="H39" s="18" t="s">
        <v>286</v>
      </c>
      <c r="I39" s="17">
        <v>0</v>
      </c>
      <c r="J39" s="18">
        <f t="shared" si="25"/>
        <v>2.64</v>
      </c>
      <c r="K39" s="17">
        <v>55</v>
      </c>
      <c r="L39" s="17">
        <v>163</v>
      </c>
      <c r="M39" s="18">
        <f t="shared" si="39"/>
        <v>20.700816741315069</v>
      </c>
      <c r="N39" s="17">
        <v>0</v>
      </c>
      <c r="O39" s="17">
        <v>1</v>
      </c>
      <c r="P39" s="17">
        <v>1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9" t="s">
        <v>347</v>
      </c>
      <c r="W39" s="17">
        <v>24</v>
      </c>
      <c r="X39" s="20">
        <v>27</v>
      </c>
      <c r="Y39" s="17">
        <v>1</v>
      </c>
      <c r="Z39" s="17">
        <v>7</v>
      </c>
      <c r="AA39" s="17">
        <v>144</v>
      </c>
      <c r="AB39" s="17">
        <v>80</v>
      </c>
      <c r="AC39" s="17">
        <v>60</v>
      </c>
      <c r="AD39" s="18">
        <f t="shared" si="26"/>
        <v>66.666666666666671</v>
      </c>
      <c r="AE39" s="18">
        <v>16</v>
      </c>
      <c r="AF39" s="17">
        <v>41</v>
      </c>
      <c r="AG39" s="17">
        <v>1</v>
      </c>
      <c r="AH39" s="17">
        <v>1</v>
      </c>
      <c r="AI39" s="17">
        <v>1</v>
      </c>
      <c r="AJ39" s="17">
        <v>9</v>
      </c>
      <c r="AK39" s="18">
        <v>17.38</v>
      </c>
      <c r="AL39" s="18">
        <v>5</v>
      </c>
      <c r="AM39" s="18">
        <v>164</v>
      </c>
      <c r="AN39" s="18">
        <v>44.1</v>
      </c>
      <c r="AO39" s="18">
        <v>235</v>
      </c>
      <c r="AP39" s="18">
        <v>19.100000000000001</v>
      </c>
      <c r="AQ39" s="18">
        <v>45.6</v>
      </c>
      <c r="AR39" s="18">
        <v>9.2100000000000009</v>
      </c>
      <c r="AT39" s="18"/>
      <c r="AV39" s="10">
        <v>14</v>
      </c>
      <c r="AW39" s="10">
        <v>7</v>
      </c>
      <c r="AX39" s="17">
        <v>20</v>
      </c>
      <c r="AY39" s="18">
        <v>2.59</v>
      </c>
      <c r="AZ39" s="10">
        <v>31.5</v>
      </c>
      <c r="BA39" s="5">
        <v>3.13</v>
      </c>
      <c r="BB39" s="5">
        <v>3.09</v>
      </c>
      <c r="BC39" s="21">
        <v>29.6</v>
      </c>
      <c r="BD39" s="17">
        <v>138.80000000000001</v>
      </c>
      <c r="BE39" s="21">
        <v>2.91</v>
      </c>
      <c r="BF39" s="17">
        <v>97</v>
      </c>
      <c r="BG39" s="17">
        <v>899</v>
      </c>
      <c r="BH39" s="17">
        <v>746</v>
      </c>
      <c r="BI39" s="17">
        <v>8290</v>
      </c>
      <c r="BJ39" s="17">
        <v>302</v>
      </c>
      <c r="BK39" s="18">
        <v>10.53</v>
      </c>
      <c r="BL39" s="18">
        <v>20</v>
      </c>
      <c r="BM39" s="18">
        <v>7.3959999999999999</v>
      </c>
      <c r="BN39" s="17">
        <v>26.9</v>
      </c>
      <c r="BO39" s="17">
        <v>140</v>
      </c>
      <c r="BP39" s="21">
        <v>16.7</v>
      </c>
      <c r="BQ39" s="21">
        <v>350</v>
      </c>
      <c r="BR39" s="18">
        <v>0.4</v>
      </c>
      <c r="BT39" s="18">
        <v>3.1</v>
      </c>
      <c r="BU39" s="20">
        <v>27</v>
      </c>
      <c r="BV39" s="22">
        <v>60.467908471400932</v>
      </c>
      <c r="BW39" s="18">
        <f t="shared" si="27"/>
        <v>1</v>
      </c>
      <c r="BX39" s="18">
        <f t="shared" si="28"/>
        <v>0</v>
      </c>
      <c r="BY39" s="18">
        <f t="shared" si="29"/>
        <v>0</v>
      </c>
      <c r="BZ39" s="18">
        <f t="shared" si="30"/>
        <v>1</v>
      </c>
      <c r="CA39" s="22">
        <v>0</v>
      </c>
      <c r="CB39" s="22">
        <v>1</v>
      </c>
      <c r="CC39" s="22">
        <v>1</v>
      </c>
      <c r="CD39" s="22">
        <v>0</v>
      </c>
      <c r="CE39" s="22">
        <v>1</v>
      </c>
      <c r="CF39" s="22">
        <f t="shared" si="31"/>
        <v>3</v>
      </c>
      <c r="CG39" s="22">
        <v>2</v>
      </c>
      <c r="CH39" s="22">
        <v>9</v>
      </c>
      <c r="CI39" s="23">
        <v>1</v>
      </c>
      <c r="CJ39" s="23">
        <v>0</v>
      </c>
      <c r="CK39" s="23">
        <v>0</v>
      </c>
      <c r="CL39" s="23">
        <v>0</v>
      </c>
      <c r="CM39" s="23">
        <v>6</v>
      </c>
      <c r="CN39" s="23" t="s">
        <v>203</v>
      </c>
      <c r="CO39" s="18" t="s">
        <v>348</v>
      </c>
      <c r="CP39" s="18" t="s">
        <v>499</v>
      </c>
      <c r="CQ39" s="18">
        <v>200</v>
      </c>
      <c r="CR39" s="18">
        <v>1500</v>
      </c>
      <c r="CS39" s="18" t="s">
        <v>225</v>
      </c>
      <c r="CT39" s="18" t="s">
        <v>207</v>
      </c>
      <c r="CU39" s="17">
        <f t="shared" si="21"/>
        <v>8290</v>
      </c>
      <c r="CV39" s="18" t="s">
        <v>208</v>
      </c>
      <c r="CW39" s="17">
        <v>2100</v>
      </c>
      <c r="CX39" s="21">
        <v>1.5</v>
      </c>
      <c r="CY39" s="17">
        <v>3200</v>
      </c>
      <c r="DB39" s="17">
        <v>1</v>
      </c>
      <c r="DC39" s="17">
        <v>3</v>
      </c>
      <c r="DD39" s="17">
        <v>3</v>
      </c>
      <c r="DE39" s="17">
        <v>134</v>
      </c>
      <c r="DF39" s="17">
        <v>12</v>
      </c>
      <c r="DG39" s="21">
        <v>13.6</v>
      </c>
      <c r="DH39" s="18">
        <v>3.87</v>
      </c>
      <c r="DI39" s="18">
        <v>117</v>
      </c>
      <c r="DJ39" s="18">
        <v>33.799999999999997</v>
      </c>
      <c r="DK39" s="17">
        <v>59</v>
      </c>
      <c r="DL39" s="21">
        <v>10.4</v>
      </c>
      <c r="DM39" s="21">
        <v>32.6</v>
      </c>
      <c r="DN39" s="18">
        <v>235</v>
      </c>
      <c r="DO39" s="18">
        <v>5.93</v>
      </c>
      <c r="DP39" s="21">
        <v>15</v>
      </c>
      <c r="DQ39" s="18">
        <v>1.22</v>
      </c>
      <c r="DR39" s="18">
        <v>73.7</v>
      </c>
      <c r="DY39" s="18">
        <v>137</v>
      </c>
      <c r="DZ39" s="18">
        <v>3.8</v>
      </c>
      <c r="EA39" s="18">
        <v>99</v>
      </c>
      <c r="EB39" s="18">
        <v>381</v>
      </c>
      <c r="EC39" s="18">
        <v>242</v>
      </c>
      <c r="ED39" s="17">
        <v>1671</v>
      </c>
      <c r="EE39" s="18">
        <v>7.4160000000000004</v>
      </c>
      <c r="EF39" s="18">
        <v>32.6</v>
      </c>
      <c r="EG39" s="18">
        <v>119.1</v>
      </c>
      <c r="EH39" s="18">
        <v>21</v>
      </c>
      <c r="EI39" s="18">
        <v>569</v>
      </c>
      <c r="EJ39" s="18">
        <v>0.3</v>
      </c>
      <c r="EK39" s="10">
        <v>1.62</v>
      </c>
      <c r="EL39" s="18">
        <v>1.6</v>
      </c>
      <c r="EM39" s="18">
        <v>12</v>
      </c>
      <c r="EN39" s="22">
        <v>14</v>
      </c>
      <c r="EO39" s="22">
        <v>18.648705693704155</v>
      </c>
      <c r="EP39" s="18">
        <f t="shared" si="32"/>
        <v>1</v>
      </c>
      <c r="EQ39" s="18">
        <f t="shared" si="33"/>
        <v>0</v>
      </c>
      <c r="ER39" s="18">
        <f t="shared" si="34"/>
        <v>0</v>
      </c>
      <c r="ES39" s="18">
        <f t="shared" si="35"/>
        <v>1</v>
      </c>
      <c r="ET39" s="22">
        <v>0</v>
      </c>
      <c r="EU39" s="22">
        <v>1</v>
      </c>
      <c r="EV39" s="22">
        <v>1</v>
      </c>
      <c r="EW39" s="22">
        <v>0</v>
      </c>
      <c r="EX39" s="22">
        <v>1</v>
      </c>
      <c r="EY39" s="22">
        <f t="shared" si="36"/>
        <v>3</v>
      </c>
      <c r="EZ39" s="22">
        <v>9</v>
      </c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7">
        <v>1671</v>
      </c>
      <c r="FT39" s="18"/>
      <c r="FU39" s="18"/>
      <c r="FV39" s="18"/>
      <c r="FW39" s="18"/>
      <c r="FX39" s="18"/>
      <c r="FY39" s="18"/>
      <c r="FZ39" s="18"/>
      <c r="GA39" s="18"/>
      <c r="GB39" s="22">
        <v>9</v>
      </c>
      <c r="GC39" s="22">
        <v>14</v>
      </c>
      <c r="GD39" s="22">
        <v>0</v>
      </c>
      <c r="GE39" s="18"/>
      <c r="GF39" s="18">
        <f t="shared" si="37"/>
        <v>0.79843184559710489</v>
      </c>
      <c r="GG39" s="17">
        <f t="shared" si="22"/>
        <v>6619</v>
      </c>
      <c r="GH39" s="17">
        <f t="shared" si="38"/>
        <v>0</v>
      </c>
      <c r="GI39" s="17">
        <f t="shared" si="23"/>
        <v>13</v>
      </c>
    </row>
    <row r="40" spans="1:193" ht="18" customHeight="1" x14ac:dyDescent="0.45">
      <c r="A40" s="14">
        <v>38</v>
      </c>
      <c r="B40" s="35" t="s">
        <v>6</v>
      </c>
      <c r="C40" s="15" t="s">
        <v>7</v>
      </c>
      <c r="D40" s="16">
        <v>0</v>
      </c>
      <c r="E40" s="17">
        <v>1978</v>
      </c>
      <c r="F40" s="17">
        <f t="shared" si="24"/>
        <v>45</v>
      </c>
      <c r="G40" s="18" t="s">
        <v>211</v>
      </c>
      <c r="H40" s="18" t="s">
        <v>234</v>
      </c>
      <c r="I40" s="17">
        <v>0</v>
      </c>
      <c r="J40" s="18">
        <f t="shared" si="25"/>
        <v>3.2160000000000002</v>
      </c>
      <c r="K40" s="17">
        <v>67</v>
      </c>
      <c r="L40" s="17">
        <v>167</v>
      </c>
      <c r="M40" s="18">
        <f t="shared" si="39"/>
        <v>24.023808670084982</v>
      </c>
      <c r="N40" s="17">
        <v>0</v>
      </c>
      <c r="O40" s="17">
        <v>1</v>
      </c>
      <c r="P40" s="17">
        <v>0</v>
      </c>
      <c r="Q40" s="17">
        <v>0</v>
      </c>
      <c r="R40" s="17">
        <v>1</v>
      </c>
      <c r="S40" s="17">
        <v>0</v>
      </c>
      <c r="T40" s="17">
        <v>0</v>
      </c>
      <c r="U40" s="17">
        <v>0</v>
      </c>
      <c r="V40" s="19" t="s">
        <v>462</v>
      </c>
      <c r="W40" s="17">
        <v>48</v>
      </c>
      <c r="X40" s="20">
        <v>11</v>
      </c>
      <c r="Y40" s="17">
        <v>1</v>
      </c>
      <c r="Z40" s="17">
        <v>9</v>
      </c>
      <c r="AA40" s="17">
        <v>125</v>
      </c>
      <c r="AB40" s="17">
        <v>140</v>
      </c>
      <c r="AC40" s="17">
        <v>100</v>
      </c>
      <c r="AD40" s="18">
        <f t="shared" si="26"/>
        <v>113.33333333333333</v>
      </c>
      <c r="AE40" s="18">
        <v>25</v>
      </c>
      <c r="AF40" s="17">
        <v>37</v>
      </c>
      <c r="AG40" s="17">
        <v>1</v>
      </c>
      <c r="AH40" s="17">
        <v>1</v>
      </c>
      <c r="AI40" s="17">
        <v>0</v>
      </c>
      <c r="AJ40" s="17">
        <v>15</v>
      </c>
      <c r="AK40" s="18">
        <v>7</v>
      </c>
      <c r="AL40" s="18">
        <v>5</v>
      </c>
      <c r="AM40" s="18">
        <v>180</v>
      </c>
      <c r="AN40" s="18">
        <v>46.5</v>
      </c>
      <c r="AO40" s="18">
        <v>97</v>
      </c>
      <c r="AP40" s="18">
        <v>10</v>
      </c>
      <c r="AQ40" s="18">
        <v>31</v>
      </c>
      <c r="AR40" s="18"/>
      <c r="AS40" s="21">
        <v>98</v>
      </c>
      <c r="AT40" s="18"/>
      <c r="AV40" s="10">
        <v>51</v>
      </c>
      <c r="AW40" s="10">
        <v>14</v>
      </c>
      <c r="AX40" s="17">
        <v>23</v>
      </c>
      <c r="AY40" s="18">
        <v>0.79</v>
      </c>
      <c r="BA40" s="5">
        <v>0.46</v>
      </c>
      <c r="BB40" s="5">
        <v>0</v>
      </c>
      <c r="BC40" s="21">
        <v>108</v>
      </c>
      <c r="BD40" s="17">
        <v>118</v>
      </c>
      <c r="BE40" s="21">
        <v>3.69</v>
      </c>
      <c r="BF40" s="17">
        <v>84</v>
      </c>
      <c r="BH40" s="17">
        <v>1754</v>
      </c>
      <c r="BI40" s="17">
        <v>1683</v>
      </c>
      <c r="BJ40" s="17">
        <v>120</v>
      </c>
      <c r="BK40" s="18"/>
      <c r="BL40" s="18"/>
      <c r="BM40" s="18">
        <v>7.4</v>
      </c>
      <c r="BO40" s="17">
        <v>87</v>
      </c>
      <c r="BP40" s="21">
        <v>24</v>
      </c>
      <c r="BQ40" s="21">
        <v>400</v>
      </c>
      <c r="BR40" s="18"/>
      <c r="BS40" s="10">
        <v>1.51</v>
      </c>
      <c r="BT40" s="18">
        <v>1.4</v>
      </c>
      <c r="BU40" s="20">
        <v>11</v>
      </c>
      <c r="BV40" s="22">
        <v>12.886854903027482</v>
      </c>
      <c r="BW40" s="18">
        <f t="shared" si="27"/>
        <v>1</v>
      </c>
      <c r="BX40" s="18">
        <f t="shared" si="28"/>
        <v>1</v>
      </c>
      <c r="BY40" s="18">
        <f t="shared" si="29"/>
        <v>0</v>
      </c>
      <c r="BZ40" s="18">
        <f t="shared" si="30"/>
        <v>2</v>
      </c>
      <c r="CA40" s="22">
        <v>0</v>
      </c>
      <c r="CB40" s="22">
        <v>0</v>
      </c>
      <c r="CC40" s="22">
        <v>1</v>
      </c>
      <c r="CD40" s="22">
        <v>0</v>
      </c>
      <c r="CE40" s="22">
        <v>0</v>
      </c>
      <c r="CF40" s="22">
        <f t="shared" si="31"/>
        <v>1</v>
      </c>
      <c r="CG40" s="22">
        <v>0</v>
      </c>
      <c r="CH40" s="22">
        <v>2</v>
      </c>
      <c r="CI40" s="23">
        <v>0</v>
      </c>
      <c r="CJ40" s="23">
        <v>1</v>
      </c>
      <c r="CK40" s="23">
        <v>0</v>
      </c>
      <c r="CL40" s="23">
        <v>0</v>
      </c>
      <c r="CM40" s="23">
        <v>5</v>
      </c>
      <c r="CN40" s="23" t="s">
        <v>219</v>
      </c>
      <c r="CO40" s="18" t="s">
        <v>463</v>
      </c>
      <c r="CP40" s="18" t="s">
        <v>235</v>
      </c>
      <c r="CQ40" s="18">
        <v>180</v>
      </c>
      <c r="CR40" s="18">
        <v>1200</v>
      </c>
      <c r="CS40" s="18" t="s">
        <v>236</v>
      </c>
      <c r="CT40" s="18" t="s">
        <v>207</v>
      </c>
      <c r="CU40" s="17">
        <f t="shared" si="21"/>
        <v>1683</v>
      </c>
      <c r="CV40" s="18" t="s">
        <v>209</v>
      </c>
      <c r="CW40" s="17">
        <v>2530</v>
      </c>
      <c r="CX40" s="21">
        <v>1.5</v>
      </c>
      <c r="CY40" s="17">
        <v>3300</v>
      </c>
      <c r="CZ40" s="17">
        <v>1200</v>
      </c>
      <c r="DA40" s="17">
        <v>600</v>
      </c>
      <c r="DB40" s="17">
        <v>1</v>
      </c>
      <c r="DC40" s="17">
        <v>0</v>
      </c>
      <c r="DD40" s="17">
        <v>3</v>
      </c>
      <c r="DE40" s="17">
        <v>105</v>
      </c>
      <c r="DF40" s="17">
        <v>22</v>
      </c>
      <c r="DG40" s="21">
        <v>6</v>
      </c>
      <c r="DH40" s="18">
        <v>4.5</v>
      </c>
      <c r="DI40" s="18">
        <v>144</v>
      </c>
      <c r="DJ40" s="18">
        <v>39.299999999999997</v>
      </c>
      <c r="DK40" s="17">
        <v>68</v>
      </c>
      <c r="DL40" s="21">
        <v>42</v>
      </c>
      <c r="DM40" s="21">
        <v>34</v>
      </c>
      <c r="DN40" s="18">
        <v>70</v>
      </c>
      <c r="DO40" s="18"/>
      <c r="DP40" s="21">
        <v>22.17</v>
      </c>
      <c r="DQ40" s="18">
        <v>0.71</v>
      </c>
      <c r="DR40" s="18">
        <v>122</v>
      </c>
      <c r="DY40" s="18">
        <v>134</v>
      </c>
      <c r="DZ40" s="18">
        <v>3.31</v>
      </c>
      <c r="EA40" s="18">
        <v>105</v>
      </c>
      <c r="EB40" s="18">
        <v>457</v>
      </c>
      <c r="EC40" s="18">
        <v>926</v>
      </c>
      <c r="ED40" s="17">
        <v>546</v>
      </c>
      <c r="EE40" s="18">
        <v>7.41</v>
      </c>
      <c r="EF40" s="18">
        <v>43</v>
      </c>
      <c r="EG40" s="18">
        <v>83</v>
      </c>
      <c r="EH40" s="18">
        <v>27</v>
      </c>
      <c r="EI40" s="18">
        <f t="shared" ref="EI40:EI46" si="40">EG40/0.21</f>
        <v>395.23809523809524</v>
      </c>
      <c r="EJ40" s="18">
        <f>EG40/EI40</f>
        <v>0.21</v>
      </c>
      <c r="EK40" s="10">
        <v>1.26</v>
      </c>
      <c r="EL40" s="5">
        <v>1.5</v>
      </c>
      <c r="EM40" s="18">
        <v>15</v>
      </c>
      <c r="EN40" s="22">
        <v>8</v>
      </c>
      <c r="EO40" s="22">
        <v>8.7145290593121416</v>
      </c>
      <c r="EP40" s="18">
        <f t="shared" si="32"/>
        <v>1</v>
      </c>
      <c r="EQ40" s="18">
        <f t="shared" si="33"/>
        <v>1</v>
      </c>
      <c r="ER40" s="18">
        <f t="shared" si="34"/>
        <v>0</v>
      </c>
      <c r="ES40" s="18">
        <f t="shared" si="35"/>
        <v>2</v>
      </c>
      <c r="ET40" s="22">
        <v>0</v>
      </c>
      <c r="EU40" s="22">
        <v>0</v>
      </c>
      <c r="EV40" s="22">
        <v>0</v>
      </c>
      <c r="EW40" s="22">
        <v>0</v>
      </c>
      <c r="EX40" s="22">
        <v>0</v>
      </c>
      <c r="EY40" s="22">
        <f t="shared" si="36"/>
        <v>0</v>
      </c>
      <c r="EZ40" s="22">
        <v>2</v>
      </c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7">
        <v>546</v>
      </c>
      <c r="FT40" s="18"/>
      <c r="FU40" s="18"/>
      <c r="FV40" s="18"/>
      <c r="FW40" s="18"/>
      <c r="FX40" s="18"/>
      <c r="FY40" s="18"/>
      <c r="FZ40" s="18"/>
      <c r="GA40" s="18"/>
      <c r="GB40" s="22">
        <v>2</v>
      </c>
      <c r="GC40" s="22">
        <v>8</v>
      </c>
      <c r="GD40" s="22">
        <v>0</v>
      </c>
      <c r="GE40" s="18"/>
      <c r="GF40" s="18">
        <f t="shared" si="37"/>
        <v>0.67557932263814613</v>
      </c>
      <c r="GG40" s="17">
        <f t="shared" si="22"/>
        <v>1137</v>
      </c>
      <c r="GH40" s="17">
        <f t="shared" si="38"/>
        <v>1</v>
      </c>
      <c r="GI40" s="17">
        <f t="shared" si="23"/>
        <v>3</v>
      </c>
    </row>
    <row r="41" spans="1:193" ht="18" customHeight="1" x14ac:dyDescent="0.45">
      <c r="A41" s="14">
        <v>39</v>
      </c>
      <c r="B41" s="35" t="s">
        <v>13</v>
      </c>
      <c r="C41" s="15" t="s">
        <v>14</v>
      </c>
      <c r="D41" s="16">
        <v>0</v>
      </c>
      <c r="E41" s="17">
        <v>1972</v>
      </c>
      <c r="F41" s="17">
        <f t="shared" si="24"/>
        <v>51</v>
      </c>
      <c r="G41" s="18" t="s">
        <v>237</v>
      </c>
      <c r="H41" s="18" t="s">
        <v>234</v>
      </c>
      <c r="I41" s="17">
        <v>0</v>
      </c>
      <c r="J41" s="18">
        <f t="shared" si="25"/>
        <v>4.4640000000000004</v>
      </c>
      <c r="K41" s="17">
        <v>93</v>
      </c>
      <c r="L41" s="17">
        <v>166</v>
      </c>
      <c r="M41" s="18">
        <f t="shared" si="39"/>
        <v>33.749455653941069</v>
      </c>
      <c r="N41" s="17">
        <v>1</v>
      </c>
      <c r="O41" s="17">
        <v>1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9">
        <v>44676</v>
      </c>
      <c r="W41" s="17">
        <v>24</v>
      </c>
      <c r="X41" s="20">
        <v>11</v>
      </c>
      <c r="Y41" s="17">
        <v>1</v>
      </c>
      <c r="Z41" s="17">
        <v>7</v>
      </c>
      <c r="AA41" s="17">
        <v>90</v>
      </c>
      <c r="AB41" s="17">
        <v>140</v>
      </c>
      <c r="AC41" s="17">
        <v>80</v>
      </c>
      <c r="AD41" s="18">
        <f t="shared" si="26"/>
        <v>100</v>
      </c>
      <c r="AE41" s="18">
        <v>20</v>
      </c>
      <c r="AF41" s="17">
        <v>37</v>
      </c>
      <c r="AG41" s="17">
        <v>1</v>
      </c>
      <c r="AH41" s="17">
        <v>0</v>
      </c>
      <c r="AI41" s="17">
        <v>0</v>
      </c>
      <c r="AJ41" s="17">
        <v>12</v>
      </c>
      <c r="AK41" s="18">
        <v>12</v>
      </c>
      <c r="AL41" s="18">
        <v>5.4</v>
      </c>
      <c r="AM41" s="18">
        <v>173</v>
      </c>
      <c r="AN41" s="18">
        <v>43</v>
      </c>
      <c r="AO41" s="18">
        <v>263</v>
      </c>
      <c r="AP41" s="18">
        <v>14</v>
      </c>
      <c r="AQ41" s="18">
        <v>35</v>
      </c>
      <c r="AR41" s="18"/>
      <c r="AT41" s="18"/>
      <c r="AU41" s="10">
        <v>624.48</v>
      </c>
      <c r="AV41" s="10">
        <v>71</v>
      </c>
      <c r="AW41" s="10">
        <v>82</v>
      </c>
      <c r="AX41" s="17">
        <v>16</v>
      </c>
      <c r="AY41" s="18">
        <v>0.7</v>
      </c>
      <c r="BA41" s="5">
        <v>0.73</v>
      </c>
      <c r="BB41" s="5">
        <v>0.25</v>
      </c>
      <c r="BC41" s="21">
        <v>111</v>
      </c>
      <c r="BD41" s="17">
        <v>130</v>
      </c>
      <c r="BE41" s="21">
        <v>3.6</v>
      </c>
      <c r="BF41" s="17">
        <v>99</v>
      </c>
      <c r="BI41" s="17">
        <v>3430</v>
      </c>
      <c r="BJ41" s="17">
        <v>219</v>
      </c>
      <c r="BK41" s="18">
        <v>9.9</v>
      </c>
      <c r="BL41" s="18"/>
      <c r="BM41" s="18">
        <v>7.3</v>
      </c>
      <c r="BN41" s="17">
        <v>35</v>
      </c>
      <c r="BO41" s="17">
        <v>107</v>
      </c>
      <c r="BP41" s="21">
        <v>21</v>
      </c>
      <c r="BQ41" s="21">
        <f>BO41/BR41</f>
        <v>191.07142857142856</v>
      </c>
      <c r="BR41" s="18">
        <v>0.56000000000000005</v>
      </c>
      <c r="BU41" s="20">
        <v>11</v>
      </c>
      <c r="BV41" s="22">
        <v>12.886854903027482</v>
      </c>
      <c r="BW41" s="18">
        <f t="shared" si="27"/>
        <v>1</v>
      </c>
      <c r="BX41" s="18">
        <f t="shared" si="28"/>
        <v>0</v>
      </c>
      <c r="BY41" s="18">
        <f t="shared" si="29"/>
        <v>0</v>
      </c>
      <c r="BZ41" s="18">
        <f t="shared" si="30"/>
        <v>1</v>
      </c>
      <c r="CA41" s="22">
        <v>0</v>
      </c>
      <c r="CB41" s="22">
        <v>1</v>
      </c>
      <c r="CC41" s="22">
        <v>0</v>
      </c>
      <c r="CD41" s="22">
        <v>0</v>
      </c>
      <c r="CE41" s="22">
        <v>1</v>
      </c>
      <c r="CF41" s="22">
        <f t="shared" si="31"/>
        <v>2</v>
      </c>
      <c r="CG41" s="22">
        <v>2</v>
      </c>
      <c r="CH41" s="22">
        <v>5</v>
      </c>
      <c r="CI41" s="23">
        <v>0</v>
      </c>
      <c r="CJ41" s="23">
        <v>1</v>
      </c>
      <c r="CK41" s="23">
        <v>0</v>
      </c>
      <c r="CL41" s="23">
        <v>0</v>
      </c>
      <c r="CM41" s="23">
        <v>3</v>
      </c>
      <c r="CN41" s="25" t="s">
        <v>219</v>
      </c>
      <c r="CO41" s="18" t="s">
        <v>484</v>
      </c>
      <c r="CP41" s="18" t="s">
        <v>205</v>
      </c>
      <c r="CQ41" s="18">
        <v>100</v>
      </c>
      <c r="CR41" s="18">
        <v>1500</v>
      </c>
      <c r="CS41" s="18" t="s">
        <v>206</v>
      </c>
      <c r="CT41" s="18" t="s">
        <v>207</v>
      </c>
      <c r="CU41" s="17">
        <f t="shared" si="21"/>
        <v>3430</v>
      </c>
      <c r="CV41" s="18" t="s">
        <v>209</v>
      </c>
      <c r="CW41" s="17">
        <v>2900</v>
      </c>
      <c r="CX41" s="21">
        <v>1.5</v>
      </c>
      <c r="CY41" s="17">
        <v>4400</v>
      </c>
      <c r="DB41" s="17">
        <v>1</v>
      </c>
      <c r="DC41" s="17">
        <v>1</v>
      </c>
      <c r="DD41" s="17">
        <v>3</v>
      </c>
      <c r="DE41" s="17">
        <v>70</v>
      </c>
      <c r="DF41" s="17">
        <v>16</v>
      </c>
      <c r="DG41" s="21">
        <v>11</v>
      </c>
      <c r="DH41" s="18">
        <v>5.6</v>
      </c>
      <c r="DI41" s="18">
        <v>167</v>
      </c>
      <c r="DJ41" s="18">
        <v>49</v>
      </c>
      <c r="DK41" s="17">
        <v>176</v>
      </c>
      <c r="DL41" s="21">
        <v>23</v>
      </c>
      <c r="DM41" s="21">
        <v>52</v>
      </c>
      <c r="DN41" s="18"/>
      <c r="DO41" s="18">
        <v>2.8</v>
      </c>
      <c r="DP41" s="21">
        <v>8</v>
      </c>
      <c r="DQ41" s="18">
        <v>0.4</v>
      </c>
      <c r="DR41" s="18">
        <v>138</v>
      </c>
      <c r="DS41" s="10">
        <v>32.21</v>
      </c>
      <c r="DT41" s="10">
        <v>453</v>
      </c>
      <c r="DU41" s="10">
        <v>38</v>
      </c>
      <c r="DV41" s="10">
        <v>26</v>
      </c>
      <c r="DW41" s="10">
        <v>1.76</v>
      </c>
      <c r="DX41" s="10">
        <v>0.51</v>
      </c>
      <c r="DY41" s="18">
        <v>136</v>
      </c>
      <c r="DZ41" s="18">
        <v>3.4</v>
      </c>
      <c r="EA41" s="18">
        <v>112</v>
      </c>
      <c r="EB41" s="18"/>
      <c r="EC41" s="18"/>
      <c r="ED41" s="17">
        <v>565</v>
      </c>
      <c r="EE41" s="18">
        <v>7.4</v>
      </c>
      <c r="EF41" s="18">
        <v>43</v>
      </c>
      <c r="EG41" s="18">
        <v>94</v>
      </c>
      <c r="EH41" s="18">
        <v>26</v>
      </c>
      <c r="EI41" s="18">
        <f t="shared" si="40"/>
        <v>447.61904761904765</v>
      </c>
      <c r="EJ41" s="18">
        <f>EG41/EI41</f>
        <v>0.21</v>
      </c>
      <c r="EK41" s="10">
        <v>1.24</v>
      </c>
      <c r="EL41" s="18"/>
      <c r="EM41" s="18">
        <v>15</v>
      </c>
      <c r="EN41" s="22">
        <v>6</v>
      </c>
      <c r="EO41" s="22">
        <v>6.6545891108010107</v>
      </c>
      <c r="EP41" s="18">
        <f t="shared" si="32"/>
        <v>0</v>
      </c>
      <c r="EQ41" s="18">
        <f t="shared" si="33"/>
        <v>0</v>
      </c>
      <c r="ER41" s="18">
        <f t="shared" si="34"/>
        <v>0</v>
      </c>
      <c r="ES41" s="18">
        <f t="shared" si="35"/>
        <v>0</v>
      </c>
      <c r="ET41" s="22">
        <v>0</v>
      </c>
      <c r="EU41" s="22">
        <v>0</v>
      </c>
      <c r="EV41" s="22">
        <v>1</v>
      </c>
      <c r="EW41" s="22">
        <v>0</v>
      </c>
      <c r="EX41" s="22">
        <v>1</v>
      </c>
      <c r="EY41" s="22">
        <f t="shared" si="36"/>
        <v>2</v>
      </c>
      <c r="EZ41" s="22">
        <v>3</v>
      </c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7">
        <v>565</v>
      </c>
      <c r="FT41" s="18"/>
      <c r="FU41" s="18"/>
      <c r="FV41" s="18"/>
      <c r="FW41" s="18"/>
      <c r="FX41" s="18"/>
      <c r="FY41" s="18"/>
      <c r="FZ41" s="18"/>
      <c r="GA41" s="18"/>
      <c r="GB41" s="22">
        <v>3</v>
      </c>
      <c r="GC41" s="22">
        <v>6</v>
      </c>
      <c r="GD41" s="22">
        <v>0</v>
      </c>
      <c r="GE41" s="18"/>
      <c r="GF41" s="18">
        <f t="shared" si="37"/>
        <v>0.83527696793002915</v>
      </c>
      <c r="GG41" s="17">
        <f t="shared" si="22"/>
        <v>2865</v>
      </c>
      <c r="GH41" s="17">
        <f t="shared" si="38"/>
        <v>0</v>
      </c>
      <c r="GI41" s="17">
        <f t="shared" si="23"/>
        <v>5</v>
      </c>
    </row>
    <row r="42" spans="1:193" ht="18" customHeight="1" x14ac:dyDescent="0.45">
      <c r="A42" s="14">
        <v>40</v>
      </c>
      <c r="B42" s="35" t="s">
        <v>446</v>
      </c>
      <c r="C42" s="15" t="s">
        <v>447</v>
      </c>
      <c r="D42" s="16">
        <v>0</v>
      </c>
      <c r="E42" s="17">
        <v>1978</v>
      </c>
      <c r="F42" s="17">
        <f t="shared" si="24"/>
        <v>45</v>
      </c>
      <c r="G42" s="18" t="s">
        <v>200</v>
      </c>
      <c r="H42" s="18" t="s">
        <v>234</v>
      </c>
      <c r="I42" s="17">
        <v>0</v>
      </c>
      <c r="J42" s="18">
        <f t="shared" si="25"/>
        <v>3.8879999999999999</v>
      </c>
      <c r="K42" s="17">
        <v>81</v>
      </c>
      <c r="L42" s="17">
        <v>172</v>
      </c>
      <c r="M42" s="18">
        <f t="shared" si="39"/>
        <v>27.379664683612766</v>
      </c>
      <c r="N42" s="17">
        <v>0</v>
      </c>
      <c r="O42" s="17">
        <v>1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9" t="s">
        <v>475</v>
      </c>
      <c r="W42" s="17">
        <v>48</v>
      </c>
      <c r="X42" s="20">
        <v>25</v>
      </c>
      <c r="Y42" s="17">
        <v>1</v>
      </c>
      <c r="Z42" s="17">
        <v>9</v>
      </c>
      <c r="AA42" s="17">
        <v>139</v>
      </c>
      <c r="AB42" s="17">
        <v>130</v>
      </c>
      <c r="AC42" s="17">
        <v>70</v>
      </c>
      <c r="AD42" s="18">
        <f t="shared" si="26"/>
        <v>90</v>
      </c>
      <c r="AE42" s="18">
        <v>20</v>
      </c>
      <c r="AF42" s="17">
        <v>37.5</v>
      </c>
      <c r="AG42" s="17">
        <v>1</v>
      </c>
      <c r="AH42" s="17">
        <v>1</v>
      </c>
      <c r="AI42" s="17">
        <v>0</v>
      </c>
      <c r="AJ42" s="17">
        <v>12</v>
      </c>
      <c r="AK42" s="18">
        <v>10.4</v>
      </c>
      <c r="AL42" s="18">
        <v>4.5999999999999996</v>
      </c>
      <c r="AM42" s="18">
        <v>152</v>
      </c>
      <c r="AN42" s="18">
        <v>40</v>
      </c>
      <c r="AO42" s="18">
        <v>231</v>
      </c>
      <c r="AP42" s="18">
        <v>17</v>
      </c>
      <c r="AQ42" s="18">
        <v>41</v>
      </c>
      <c r="AR42" s="18"/>
      <c r="AS42" s="21">
        <v>164</v>
      </c>
      <c r="AT42" s="18"/>
      <c r="AV42" s="10">
        <v>67</v>
      </c>
      <c r="AW42" s="10">
        <v>61</v>
      </c>
      <c r="AX42" s="17">
        <v>74</v>
      </c>
      <c r="AY42" s="18">
        <v>2.2599999999999998</v>
      </c>
      <c r="BA42" s="5">
        <v>2.33</v>
      </c>
      <c r="BB42" s="5">
        <v>1.22</v>
      </c>
      <c r="BC42" s="21">
        <v>32</v>
      </c>
      <c r="BD42" s="17">
        <v>107</v>
      </c>
      <c r="BE42" s="21">
        <v>4.2</v>
      </c>
      <c r="BF42" s="17">
        <v>73</v>
      </c>
      <c r="BH42" s="17">
        <v>2450</v>
      </c>
      <c r="BI42" s="17">
        <v>5616</v>
      </c>
      <c r="BJ42" s="17">
        <v>793</v>
      </c>
      <c r="BK42" s="18">
        <v>11.7</v>
      </c>
      <c r="BL42" s="18">
        <v>9.4700000000000006</v>
      </c>
      <c r="BM42" s="18">
        <v>7.08</v>
      </c>
      <c r="BN42" s="17">
        <v>11</v>
      </c>
      <c r="BO42" s="17">
        <v>119</v>
      </c>
      <c r="BP42" s="21">
        <v>3.5</v>
      </c>
      <c r="BQ42" s="21">
        <v>400</v>
      </c>
      <c r="BR42" s="18"/>
      <c r="BT42" s="18">
        <v>3.48</v>
      </c>
      <c r="BU42" s="20">
        <v>25</v>
      </c>
      <c r="BV42" s="22">
        <v>53.320107327383035</v>
      </c>
      <c r="BW42" s="18">
        <f t="shared" si="27"/>
        <v>1</v>
      </c>
      <c r="BX42" s="18">
        <f t="shared" si="28"/>
        <v>0</v>
      </c>
      <c r="BY42" s="18">
        <f t="shared" si="29"/>
        <v>1</v>
      </c>
      <c r="BZ42" s="18">
        <f t="shared" si="30"/>
        <v>2</v>
      </c>
      <c r="CA42" s="22">
        <v>1</v>
      </c>
      <c r="CB42" s="22">
        <v>1</v>
      </c>
      <c r="CC42" s="22">
        <v>0</v>
      </c>
      <c r="CD42" s="22">
        <v>0</v>
      </c>
      <c r="CE42" s="22">
        <v>0</v>
      </c>
      <c r="CF42" s="22">
        <f t="shared" si="31"/>
        <v>2</v>
      </c>
      <c r="CG42" s="22">
        <v>1</v>
      </c>
      <c r="CH42" s="22">
        <v>6</v>
      </c>
      <c r="CI42" s="23">
        <v>1</v>
      </c>
      <c r="CJ42" s="23">
        <v>0</v>
      </c>
      <c r="CK42" s="23">
        <v>0</v>
      </c>
      <c r="CL42" s="23">
        <v>0</v>
      </c>
      <c r="CM42" s="23">
        <v>8</v>
      </c>
      <c r="CN42" s="23" t="s">
        <v>203</v>
      </c>
      <c r="CO42" s="18" t="s">
        <v>476</v>
      </c>
      <c r="CP42" s="18" t="s">
        <v>235</v>
      </c>
      <c r="CQ42" s="18">
        <v>180</v>
      </c>
      <c r="CR42" s="18">
        <v>1800</v>
      </c>
      <c r="CS42" s="18" t="s">
        <v>236</v>
      </c>
      <c r="CT42" s="18" t="s">
        <v>207</v>
      </c>
      <c r="CU42" s="17">
        <v>5616</v>
      </c>
      <c r="CV42" s="18" t="s">
        <v>209</v>
      </c>
      <c r="CW42" s="17">
        <v>3800</v>
      </c>
      <c r="CX42" s="21">
        <v>1.5</v>
      </c>
      <c r="CY42" s="17">
        <v>5600</v>
      </c>
      <c r="CZ42" s="17">
        <v>3400</v>
      </c>
      <c r="DA42" s="17">
        <v>800</v>
      </c>
      <c r="DB42" s="17">
        <v>1</v>
      </c>
      <c r="DC42" s="17">
        <v>0</v>
      </c>
      <c r="DD42" s="17">
        <v>3</v>
      </c>
      <c r="DE42" s="17">
        <v>119</v>
      </c>
      <c r="DF42" s="17">
        <v>16</v>
      </c>
      <c r="DG42" s="21">
        <v>10</v>
      </c>
      <c r="DH42" s="18">
        <v>4.5</v>
      </c>
      <c r="DI42" s="18">
        <v>141</v>
      </c>
      <c r="DJ42" s="18">
        <v>38</v>
      </c>
      <c r="DK42" s="17">
        <v>174</v>
      </c>
      <c r="DL42" s="21">
        <v>25</v>
      </c>
      <c r="DM42" s="21">
        <v>91</v>
      </c>
      <c r="DN42" s="18"/>
      <c r="DO42" s="18"/>
      <c r="DP42" s="21">
        <v>40</v>
      </c>
      <c r="DQ42" s="18">
        <v>1.05</v>
      </c>
      <c r="DR42" s="18">
        <v>77</v>
      </c>
      <c r="DY42" s="18">
        <v>140</v>
      </c>
      <c r="DZ42" s="18">
        <v>3.4</v>
      </c>
      <c r="EA42" s="18">
        <v>115</v>
      </c>
      <c r="EB42" s="18"/>
      <c r="EC42" s="18"/>
      <c r="ED42" s="17">
        <v>349</v>
      </c>
      <c r="EE42" s="18">
        <v>7.42</v>
      </c>
      <c r="EF42" s="18">
        <v>38</v>
      </c>
      <c r="EG42" s="18">
        <v>75</v>
      </c>
      <c r="EH42" s="18">
        <v>24</v>
      </c>
      <c r="EI42" s="18">
        <f t="shared" si="40"/>
        <v>357.14285714285717</v>
      </c>
      <c r="EJ42" s="18">
        <f>EG42/EI42</f>
        <v>0.21</v>
      </c>
      <c r="EK42" s="10">
        <v>1.78</v>
      </c>
      <c r="EL42" s="18"/>
      <c r="EM42" s="18">
        <v>15</v>
      </c>
      <c r="EN42" s="22">
        <v>5</v>
      </c>
      <c r="EO42" s="22">
        <v>5.8030727493148637</v>
      </c>
      <c r="EP42" s="18">
        <f t="shared" si="32"/>
        <v>1</v>
      </c>
      <c r="EQ42" s="18">
        <f t="shared" si="33"/>
        <v>0</v>
      </c>
      <c r="ER42" s="18">
        <f t="shared" si="34"/>
        <v>1</v>
      </c>
      <c r="ES42" s="18">
        <f t="shared" si="35"/>
        <v>2</v>
      </c>
      <c r="ET42" s="22">
        <v>1</v>
      </c>
      <c r="EU42" s="22">
        <v>0</v>
      </c>
      <c r="EV42" s="22">
        <v>0</v>
      </c>
      <c r="EW42" s="22">
        <v>0</v>
      </c>
      <c r="EX42" s="22">
        <v>0</v>
      </c>
      <c r="EY42" s="22">
        <f t="shared" si="36"/>
        <v>1</v>
      </c>
      <c r="EZ42" s="22">
        <v>5</v>
      </c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7">
        <v>349</v>
      </c>
      <c r="FT42" s="18"/>
      <c r="FU42" s="18"/>
      <c r="FV42" s="18"/>
      <c r="FW42" s="18"/>
      <c r="FX42" s="18"/>
      <c r="FY42" s="18"/>
      <c r="FZ42" s="18"/>
      <c r="GA42" s="18"/>
      <c r="GB42" s="22">
        <v>5</v>
      </c>
      <c r="GC42" s="22">
        <v>5</v>
      </c>
      <c r="GD42" s="22">
        <v>0</v>
      </c>
      <c r="GE42" s="18"/>
      <c r="GF42" s="18">
        <f t="shared" si="37"/>
        <v>0.93785612535612539</v>
      </c>
      <c r="GG42" s="17">
        <f t="shared" si="22"/>
        <v>5267</v>
      </c>
      <c r="GH42" s="17">
        <f t="shared" si="38"/>
        <v>1</v>
      </c>
      <c r="GI42" s="17">
        <f t="shared" si="23"/>
        <v>20</v>
      </c>
    </row>
    <row r="43" spans="1:193" ht="18" customHeight="1" x14ac:dyDescent="0.45">
      <c r="A43" s="14">
        <v>41</v>
      </c>
      <c r="B43" s="35" t="s">
        <v>473</v>
      </c>
      <c r="C43" s="15" t="s">
        <v>474</v>
      </c>
      <c r="D43" s="16">
        <v>0</v>
      </c>
      <c r="E43" s="17">
        <v>1968</v>
      </c>
      <c r="F43" s="17">
        <f t="shared" si="24"/>
        <v>55</v>
      </c>
      <c r="G43" s="18" t="s">
        <v>200</v>
      </c>
      <c r="H43" s="18" t="s">
        <v>234</v>
      </c>
      <c r="I43" s="17">
        <v>0</v>
      </c>
      <c r="J43" s="18">
        <f t="shared" si="25"/>
        <v>3.84</v>
      </c>
      <c r="K43" s="17">
        <v>80</v>
      </c>
      <c r="L43" s="17">
        <v>170</v>
      </c>
      <c r="M43" s="18">
        <v>27.7</v>
      </c>
      <c r="N43" s="17">
        <v>0</v>
      </c>
      <c r="O43" s="17">
        <v>0</v>
      </c>
      <c r="P43" s="17">
        <v>0</v>
      </c>
      <c r="Q43" s="17">
        <v>0</v>
      </c>
      <c r="R43" s="17">
        <v>1</v>
      </c>
      <c r="S43" s="17">
        <v>0</v>
      </c>
      <c r="T43" s="17">
        <v>0</v>
      </c>
      <c r="U43" s="17">
        <v>0</v>
      </c>
      <c r="V43" s="19" t="s">
        <v>406</v>
      </c>
      <c r="W43" s="17">
        <v>24</v>
      </c>
      <c r="X43" s="20">
        <v>13</v>
      </c>
      <c r="Y43" s="17">
        <v>1</v>
      </c>
      <c r="Z43" s="17">
        <v>14</v>
      </c>
      <c r="AA43" s="17">
        <v>112</v>
      </c>
      <c r="AB43" s="17">
        <v>140</v>
      </c>
      <c r="AC43" s="17">
        <v>100</v>
      </c>
      <c r="AD43" s="18">
        <f t="shared" si="26"/>
        <v>113.33333333333333</v>
      </c>
      <c r="AE43" s="18">
        <v>20</v>
      </c>
      <c r="AF43" s="17">
        <v>37</v>
      </c>
      <c r="AG43" s="17">
        <v>1</v>
      </c>
      <c r="AH43" s="17">
        <v>0</v>
      </c>
      <c r="AI43" s="17">
        <v>0</v>
      </c>
      <c r="AJ43" s="17">
        <v>13</v>
      </c>
      <c r="AK43" s="18">
        <v>10</v>
      </c>
      <c r="AL43" s="18">
        <v>4.7</v>
      </c>
      <c r="AM43" s="18">
        <v>155</v>
      </c>
      <c r="AN43" s="18">
        <v>39.5</v>
      </c>
      <c r="AO43" s="18">
        <v>195</v>
      </c>
      <c r="AP43" s="18">
        <v>11</v>
      </c>
      <c r="AQ43" s="18">
        <v>33</v>
      </c>
      <c r="AR43" s="18"/>
      <c r="AS43" s="21">
        <v>174</v>
      </c>
      <c r="AT43" s="18"/>
      <c r="AU43" s="10">
        <v>230</v>
      </c>
      <c r="AV43" s="10">
        <v>61</v>
      </c>
      <c r="AW43" s="10">
        <v>46</v>
      </c>
      <c r="AX43" s="17">
        <v>28</v>
      </c>
      <c r="AY43" s="18">
        <v>0.72</v>
      </c>
      <c r="AZ43" s="10">
        <v>35.85</v>
      </c>
      <c r="BC43" s="21">
        <v>114</v>
      </c>
      <c r="BD43" s="17">
        <v>118</v>
      </c>
      <c r="BE43" s="21">
        <v>3.07</v>
      </c>
      <c r="BF43" s="17">
        <v>89</v>
      </c>
      <c r="BH43" s="17">
        <v>429</v>
      </c>
      <c r="BI43" s="17">
        <v>8167</v>
      </c>
      <c r="BJ43" s="17">
        <v>120</v>
      </c>
      <c r="BK43" s="18"/>
      <c r="BL43" s="18"/>
      <c r="BM43" s="18">
        <v>7.35</v>
      </c>
      <c r="BO43" s="17">
        <v>88</v>
      </c>
      <c r="BP43" s="21">
        <v>24</v>
      </c>
      <c r="BR43" s="18"/>
      <c r="BU43" s="20">
        <v>13</v>
      </c>
      <c r="BV43" s="22">
        <v>16.534282858797354</v>
      </c>
      <c r="BW43" s="18">
        <f t="shared" si="27"/>
        <v>1</v>
      </c>
      <c r="BX43" s="18">
        <f t="shared" si="28"/>
        <v>0</v>
      </c>
      <c r="BY43" s="18">
        <f t="shared" si="29"/>
        <v>1</v>
      </c>
      <c r="BZ43" s="18">
        <f t="shared" si="30"/>
        <v>2</v>
      </c>
      <c r="CA43" s="22">
        <v>1</v>
      </c>
      <c r="CB43" s="22">
        <v>0</v>
      </c>
      <c r="CC43" s="22">
        <v>0</v>
      </c>
      <c r="CD43" s="22">
        <v>0</v>
      </c>
      <c r="CE43" s="22">
        <v>0</v>
      </c>
      <c r="CF43" s="22">
        <f t="shared" si="31"/>
        <v>1</v>
      </c>
      <c r="CG43" s="22">
        <v>0</v>
      </c>
      <c r="CH43" s="22">
        <v>1</v>
      </c>
      <c r="CI43" s="23">
        <v>0</v>
      </c>
      <c r="CJ43" s="23">
        <v>1</v>
      </c>
      <c r="CK43" s="23">
        <v>0</v>
      </c>
      <c r="CL43" s="23">
        <v>0</v>
      </c>
      <c r="CM43" s="23">
        <v>5</v>
      </c>
      <c r="CN43" s="23" t="s">
        <v>219</v>
      </c>
      <c r="CO43" s="18" t="s">
        <v>407</v>
      </c>
      <c r="CP43" s="18" t="s">
        <v>235</v>
      </c>
      <c r="CQ43" s="18">
        <v>180</v>
      </c>
      <c r="CR43" s="18">
        <v>1200</v>
      </c>
      <c r="CS43" s="18" t="s">
        <v>236</v>
      </c>
      <c r="CT43" s="18" t="s">
        <v>207</v>
      </c>
      <c r="CU43" s="17">
        <f>BI43</f>
        <v>8167</v>
      </c>
      <c r="CV43" s="18" t="s">
        <v>209</v>
      </c>
      <c r="CW43" s="17">
        <v>3400</v>
      </c>
      <c r="CX43" s="21">
        <v>1.5</v>
      </c>
      <c r="CY43" s="17">
        <v>5100</v>
      </c>
      <c r="CZ43" s="17">
        <v>2000</v>
      </c>
      <c r="DA43" s="17">
        <v>800</v>
      </c>
      <c r="DB43" s="17">
        <v>1</v>
      </c>
      <c r="DC43" s="17">
        <v>0</v>
      </c>
      <c r="DD43" s="17">
        <v>3</v>
      </c>
      <c r="DE43" s="17">
        <v>102</v>
      </c>
      <c r="DF43" s="17">
        <v>18</v>
      </c>
      <c r="DG43" s="21">
        <v>8</v>
      </c>
      <c r="DH43" s="18">
        <v>3.54</v>
      </c>
      <c r="DI43" s="18">
        <v>112</v>
      </c>
      <c r="DJ43" s="18">
        <v>36.799999999999997</v>
      </c>
      <c r="DK43" s="17">
        <v>156</v>
      </c>
      <c r="DL43" s="21">
        <v>13</v>
      </c>
      <c r="DM43" s="21">
        <v>48</v>
      </c>
      <c r="DN43" s="18">
        <v>133</v>
      </c>
      <c r="DO43" s="18"/>
      <c r="DP43" s="21">
        <v>11</v>
      </c>
      <c r="DQ43" s="18">
        <v>0.84</v>
      </c>
      <c r="DR43" s="18">
        <v>97</v>
      </c>
      <c r="DU43" s="10">
        <v>21</v>
      </c>
      <c r="DV43" s="10">
        <v>21</v>
      </c>
      <c r="DW43" s="10">
        <v>1.52</v>
      </c>
      <c r="DY43" s="18">
        <v>135</v>
      </c>
      <c r="DZ43" s="18">
        <v>3.55</v>
      </c>
      <c r="EA43" s="18">
        <v>100</v>
      </c>
      <c r="EB43" s="18"/>
      <c r="EC43" s="18">
        <v>99</v>
      </c>
      <c r="ED43" s="17">
        <v>629</v>
      </c>
      <c r="EE43" s="18">
        <v>7.42</v>
      </c>
      <c r="EF43" s="18">
        <v>45</v>
      </c>
      <c r="EG43" s="18">
        <v>93</v>
      </c>
      <c r="EH43" s="18">
        <v>22</v>
      </c>
      <c r="EI43" s="18">
        <f t="shared" si="40"/>
        <v>442.85714285714289</v>
      </c>
      <c r="EJ43" s="18">
        <f>EG43/EI43</f>
        <v>0.21</v>
      </c>
      <c r="EK43" s="10">
        <v>1.59</v>
      </c>
      <c r="EL43" s="18"/>
      <c r="EM43" s="18">
        <v>14</v>
      </c>
      <c r="EN43" s="22">
        <v>8</v>
      </c>
      <c r="EO43" s="22">
        <v>8.7145290593121416</v>
      </c>
      <c r="EP43" s="18">
        <f t="shared" si="32"/>
        <v>1</v>
      </c>
      <c r="EQ43" s="18">
        <f t="shared" si="33"/>
        <v>0</v>
      </c>
      <c r="ER43" s="18">
        <f t="shared" si="34"/>
        <v>0</v>
      </c>
      <c r="ES43" s="18">
        <f t="shared" si="35"/>
        <v>1</v>
      </c>
      <c r="ET43" s="22">
        <v>0</v>
      </c>
      <c r="EU43" s="22">
        <v>0</v>
      </c>
      <c r="EV43" s="22">
        <v>0</v>
      </c>
      <c r="EW43" s="22">
        <v>0</v>
      </c>
      <c r="EX43" s="22">
        <v>0</v>
      </c>
      <c r="EY43" s="22">
        <f t="shared" si="36"/>
        <v>0</v>
      </c>
      <c r="EZ43" s="22">
        <v>0</v>
      </c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7">
        <v>629</v>
      </c>
      <c r="FT43" s="18"/>
      <c r="FU43" s="18"/>
      <c r="FV43" s="18"/>
      <c r="FW43" s="18"/>
      <c r="FX43" s="18"/>
      <c r="FY43" s="18"/>
      <c r="FZ43" s="18"/>
      <c r="GA43" s="18"/>
      <c r="GB43" s="22">
        <v>0</v>
      </c>
      <c r="GC43" s="22">
        <v>8</v>
      </c>
      <c r="GD43" s="22">
        <v>0</v>
      </c>
      <c r="GE43" s="18"/>
      <c r="GF43" s="18">
        <f t="shared" si="37"/>
        <v>0.92298273539855513</v>
      </c>
      <c r="GG43" s="17">
        <f t="shared" si="22"/>
        <v>7538</v>
      </c>
      <c r="GH43" s="17">
        <f t="shared" si="38"/>
        <v>1</v>
      </c>
      <c r="GI43" s="17">
        <f t="shared" si="23"/>
        <v>5</v>
      </c>
    </row>
    <row r="44" spans="1:193" ht="18" customHeight="1" x14ac:dyDescent="0.45">
      <c r="A44" s="14">
        <v>42</v>
      </c>
      <c r="B44" s="35" t="s">
        <v>35</v>
      </c>
      <c r="C44" s="15" t="s">
        <v>36</v>
      </c>
      <c r="D44" s="16">
        <v>0</v>
      </c>
      <c r="E44" s="17">
        <v>1986</v>
      </c>
      <c r="F44" s="17">
        <f t="shared" si="24"/>
        <v>37</v>
      </c>
      <c r="G44" s="18" t="s">
        <v>211</v>
      </c>
      <c r="H44" s="18" t="s">
        <v>234</v>
      </c>
      <c r="I44" s="17">
        <v>0</v>
      </c>
      <c r="J44" s="18">
        <f t="shared" si="25"/>
        <v>3.36</v>
      </c>
      <c r="K44" s="17">
        <v>70</v>
      </c>
      <c r="L44" s="17">
        <v>160</v>
      </c>
      <c r="M44" s="18">
        <f t="shared" ref="M44:M75" si="41">K44/(L44/100)^2</f>
        <v>27.343749999999996</v>
      </c>
      <c r="N44" s="17">
        <v>1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9" t="s">
        <v>383</v>
      </c>
      <c r="W44" s="17">
        <v>24</v>
      </c>
      <c r="X44" s="20">
        <v>12</v>
      </c>
      <c r="Y44" s="17">
        <v>1</v>
      </c>
      <c r="Z44" s="17">
        <v>11</v>
      </c>
      <c r="AA44" s="17">
        <v>102</v>
      </c>
      <c r="AB44" s="17">
        <v>160</v>
      </c>
      <c r="AC44" s="17">
        <v>100</v>
      </c>
      <c r="AD44" s="18">
        <f t="shared" si="26"/>
        <v>120</v>
      </c>
      <c r="AE44" s="18">
        <v>22</v>
      </c>
      <c r="AF44" s="17">
        <v>39</v>
      </c>
      <c r="AG44" s="17">
        <v>0</v>
      </c>
      <c r="AH44" s="17">
        <v>0</v>
      </c>
      <c r="AI44" s="17">
        <v>0</v>
      </c>
      <c r="AJ44" s="17">
        <v>15</v>
      </c>
      <c r="AK44" s="18">
        <v>17.8</v>
      </c>
      <c r="AL44" s="18">
        <v>7.8</v>
      </c>
      <c r="AM44" s="18">
        <v>165</v>
      </c>
      <c r="AN44" s="18">
        <v>50</v>
      </c>
      <c r="AO44" s="18">
        <v>221</v>
      </c>
      <c r="AP44" s="18">
        <v>13</v>
      </c>
      <c r="AQ44" s="18">
        <v>33</v>
      </c>
      <c r="AR44" s="18"/>
      <c r="AS44" s="21">
        <v>28</v>
      </c>
      <c r="AT44" s="18"/>
      <c r="AV44" s="10">
        <v>36</v>
      </c>
      <c r="AW44" s="10">
        <v>0.44</v>
      </c>
      <c r="AX44" s="17">
        <v>10</v>
      </c>
      <c r="AY44" s="18">
        <v>0.75</v>
      </c>
      <c r="BA44" s="5">
        <v>1.52</v>
      </c>
      <c r="BB44" s="5">
        <v>0.31</v>
      </c>
      <c r="BC44" s="21">
        <v>119</v>
      </c>
      <c r="BD44" s="17">
        <v>128</v>
      </c>
      <c r="BE44" s="21">
        <v>2.8</v>
      </c>
      <c r="BF44" s="17">
        <v>91</v>
      </c>
      <c r="BH44" s="17">
        <v>230</v>
      </c>
      <c r="BI44" s="17">
        <v>1451</v>
      </c>
      <c r="BJ44" s="17">
        <v>18</v>
      </c>
      <c r="BK44" s="18"/>
      <c r="BL44" s="18"/>
      <c r="BM44" s="18">
        <v>7.42</v>
      </c>
      <c r="BN44" s="17">
        <v>36</v>
      </c>
      <c r="BO44" s="17">
        <v>82</v>
      </c>
      <c r="BP44" s="21">
        <v>24</v>
      </c>
      <c r="BQ44" s="21">
        <v>342</v>
      </c>
      <c r="BR44" s="18">
        <f>BO44/BQ44</f>
        <v>0.23976608187134502</v>
      </c>
      <c r="BU44" s="20">
        <v>12</v>
      </c>
      <c r="BV44" s="22">
        <v>14.616523039738205</v>
      </c>
      <c r="BW44" s="18">
        <f t="shared" si="27"/>
        <v>1</v>
      </c>
      <c r="BX44" s="18">
        <f t="shared" si="28"/>
        <v>1</v>
      </c>
      <c r="BY44" s="18">
        <f t="shared" si="29"/>
        <v>0</v>
      </c>
      <c r="BZ44" s="18">
        <f t="shared" si="30"/>
        <v>2</v>
      </c>
      <c r="CA44" s="22">
        <v>0</v>
      </c>
      <c r="CB44" s="22">
        <v>0</v>
      </c>
      <c r="CC44" s="22">
        <v>1</v>
      </c>
      <c r="CD44" s="22">
        <v>0</v>
      </c>
      <c r="CE44" s="22">
        <v>0</v>
      </c>
      <c r="CF44" s="22">
        <f t="shared" si="31"/>
        <v>1</v>
      </c>
      <c r="CG44" s="22">
        <v>1</v>
      </c>
      <c r="CH44" s="22">
        <v>2</v>
      </c>
      <c r="CI44" s="23">
        <v>0</v>
      </c>
      <c r="CJ44" s="23">
        <v>1</v>
      </c>
      <c r="CK44" s="23">
        <v>0</v>
      </c>
      <c r="CL44" s="23">
        <v>0</v>
      </c>
      <c r="CM44" s="23">
        <v>4</v>
      </c>
      <c r="CN44" s="23" t="s">
        <v>219</v>
      </c>
      <c r="CO44" s="18" t="s">
        <v>384</v>
      </c>
      <c r="CP44" s="18" t="s">
        <v>235</v>
      </c>
      <c r="CQ44" s="18">
        <v>150</v>
      </c>
      <c r="CR44" s="18">
        <v>900</v>
      </c>
      <c r="CS44" s="18" t="s">
        <v>236</v>
      </c>
      <c r="CT44" s="18" t="s">
        <v>207</v>
      </c>
      <c r="CU44" s="17">
        <v>1451</v>
      </c>
      <c r="CV44" s="18" t="s">
        <v>209</v>
      </c>
      <c r="CW44" s="17">
        <v>2600</v>
      </c>
      <c r="CX44" s="21">
        <v>1</v>
      </c>
      <c r="CY44" s="17">
        <v>2600</v>
      </c>
      <c r="CZ44" s="17">
        <v>2900</v>
      </c>
      <c r="DA44" s="17">
        <v>700</v>
      </c>
      <c r="DB44" s="17">
        <v>1</v>
      </c>
      <c r="DC44" s="17">
        <v>0</v>
      </c>
      <c r="DD44" s="17">
        <v>3</v>
      </c>
      <c r="DE44" s="17">
        <v>82</v>
      </c>
      <c r="DF44" s="17">
        <v>20</v>
      </c>
      <c r="DG44" s="21">
        <v>22</v>
      </c>
      <c r="DH44" s="18">
        <v>7.99</v>
      </c>
      <c r="DI44" s="18">
        <v>167</v>
      </c>
      <c r="DJ44" s="18">
        <v>51</v>
      </c>
      <c r="DK44" s="17">
        <v>209</v>
      </c>
      <c r="DL44" s="21">
        <v>28</v>
      </c>
      <c r="DM44" s="21">
        <v>34</v>
      </c>
      <c r="DN44" s="18">
        <v>62</v>
      </c>
      <c r="DO44" s="18"/>
      <c r="DP44" s="21">
        <v>10</v>
      </c>
      <c r="DQ44" s="18">
        <v>0.72</v>
      </c>
      <c r="DR44" s="18">
        <v>125</v>
      </c>
      <c r="DS44" s="10">
        <v>44.06</v>
      </c>
      <c r="DU44" s="10">
        <v>15</v>
      </c>
      <c r="DV44" s="10">
        <v>9</v>
      </c>
      <c r="DW44" s="10">
        <v>0.74</v>
      </c>
      <c r="DY44" s="18">
        <v>133</v>
      </c>
      <c r="DZ44" s="18">
        <v>3.4</v>
      </c>
      <c r="EA44" s="18">
        <v>103</v>
      </c>
      <c r="EB44" s="18"/>
      <c r="EC44" s="18">
        <v>164</v>
      </c>
      <c r="ED44" s="17">
        <v>345</v>
      </c>
      <c r="EE44" s="18">
        <v>7.42</v>
      </c>
      <c r="EF44" s="18">
        <v>43</v>
      </c>
      <c r="EG44" s="18">
        <v>85</v>
      </c>
      <c r="EH44" s="18">
        <v>22</v>
      </c>
      <c r="EI44" s="18">
        <f t="shared" si="40"/>
        <v>404.76190476190476</v>
      </c>
      <c r="EJ44" s="18">
        <f>EG44/EI44</f>
        <v>0.21</v>
      </c>
      <c r="EL44" s="18"/>
      <c r="EM44" s="18">
        <v>15</v>
      </c>
      <c r="EN44" s="22">
        <v>10</v>
      </c>
      <c r="EO44" s="22">
        <v>11.334697884966939</v>
      </c>
      <c r="EP44" s="18">
        <f t="shared" si="32"/>
        <v>0</v>
      </c>
      <c r="EQ44" s="18">
        <f t="shared" si="33"/>
        <v>0</v>
      </c>
      <c r="ER44" s="18">
        <f t="shared" si="34"/>
        <v>0</v>
      </c>
      <c r="ES44" s="18">
        <f t="shared" si="35"/>
        <v>0</v>
      </c>
      <c r="ET44" s="22">
        <v>0</v>
      </c>
      <c r="EU44" s="22">
        <v>0</v>
      </c>
      <c r="EV44" s="22">
        <v>1</v>
      </c>
      <c r="EW44" s="22">
        <v>0</v>
      </c>
      <c r="EX44" s="22">
        <v>0</v>
      </c>
      <c r="EY44" s="22">
        <f t="shared" si="36"/>
        <v>1</v>
      </c>
      <c r="EZ44" s="22">
        <v>2</v>
      </c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7">
        <v>345</v>
      </c>
      <c r="FT44" s="18"/>
      <c r="FU44" s="18"/>
      <c r="FV44" s="18"/>
      <c r="FW44" s="18"/>
      <c r="FX44" s="18"/>
      <c r="FY44" s="18"/>
      <c r="FZ44" s="18"/>
      <c r="GA44" s="18"/>
      <c r="GB44" s="22">
        <v>2</v>
      </c>
      <c r="GC44" s="22">
        <v>10</v>
      </c>
      <c r="GD44" s="22">
        <v>0</v>
      </c>
      <c r="GE44" s="18"/>
      <c r="GF44" s="18">
        <f t="shared" si="37"/>
        <v>0.7622329427980703</v>
      </c>
      <c r="GG44" s="17">
        <f t="shared" si="22"/>
        <v>1106</v>
      </c>
      <c r="GH44" s="17">
        <f t="shared" si="38"/>
        <v>0</v>
      </c>
      <c r="GI44" s="17">
        <f t="shared" si="23"/>
        <v>2</v>
      </c>
    </row>
    <row r="45" spans="1:193" ht="18" customHeight="1" x14ac:dyDescent="0.4">
      <c r="A45" s="14">
        <v>43</v>
      </c>
      <c r="B45" s="35">
        <v>2190029061</v>
      </c>
      <c r="C45" s="15" t="s">
        <v>265</v>
      </c>
      <c r="D45" s="26">
        <v>0</v>
      </c>
      <c r="E45" s="17">
        <v>1977</v>
      </c>
      <c r="F45" s="17">
        <f t="shared" si="24"/>
        <v>46</v>
      </c>
      <c r="G45" s="18" t="s">
        <v>211</v>
      </c>
      <c r="H45" s="18" t="s">
        <v>286</v>
      </c>
      <c r="I45" s="17">
        <v>0</v>
      </c>
      <c r="J45" s="18">
        <f t="shared" si="25"/>
        <v>3.6</v>
      </c>
      <c r="K45" s="17">
        <v>75</v>
      </c>
      <c r="L45" s="17">
        <v>166</v>
      </c>
      <c r="M45" s="18">
        <f t="shared" si="41"/>
        <v>27.217302946726669</v>
      </c>
      <c r="N45" s="17">
        <v>0</v>
      </c>
      <c r="O45" s="17">
        <v>1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9" t="s">
        <v>490</v>
      </c>
      <c r="W45" s="17">
        <v>24</v>
      </c>
      <c r="X45" s="20">
        <v>25</v>
      </c>
      <c r="Y45" s="17">
        <v>1</v>
      </c>
      <c r="Z45" s="17">
        <v>16</v>
      </c>
      <c r="AA45" s="17">
        <v>100</v>
      </c>
      <c r="AB45" s="17">
        <v>120</v>
      </c>
      <c r="AC45" s="17">
        <v>60</v>
      </c>
      <c r="AD45" s="18">
        <f t="shared" si="26"/>
        <v>80</v>
      </c>
      <c r="AE45" s="18">
        <v>40</v>
      </c>
      <c r="AF45" s="17">
        <v>37</v>
      </c>
      <c r="AG45" s="17">
        <v>1</v>
      </c>
      <c r="AH45" s="17">
        <v>1</v>
      </c>
      <c r="AI45" s="17">
        <v>0</v>
      </c>
      <c r="AJ45" s="17">
        <v>14</v>
      </c>
      <c r="AK45" s="18">
        <v>19.399999999999999</v>
      </c>
      <c r="AL45" s="18">
        <v>5.6</v>
      </c>
      <c r="AM45" s="18">
        <v>187</v>
      </c>
      <c r="AN45" s="18">
        <v>52</v>
      </c>
      <c r="AO45" s="18">
        <v>129</v>
      </c>
      <c r="AP45" s="18">
        <v>22</v>
      </c>
      <c r="AQ45" s="18">
        <v>52</v>
      </c>
      <c r="AR45" s="18">
        <v>2.7</v>
      </c>
      <c r="AT45" s="18"/>
      <c r="AX45" s="17">
        <v>45</v>
      </c>
      <c r="AY45" s="18">
        <v>2.33</v>
      </c>
      <c r="BA45" s="5">
        <v>1.9</v>
      </c>
      <c r="BB45" s="5">
        <v>0.65</v>
      </c>
      <c r="BC45" s="21">
        <v>38</v>
      </c>
      <c r="BD45" s="17">
        <v>127</v>
      </c>
      <c r="BE45" s="21">
        <v>4.9000000000000004</v>
      </c>
      <c r="BF45" s="17">
        <v>102</v>
      </c>
      <c r="BI45" s="17">
        <v>3000</v>
      </c>
      <c r="BJ45" s="17">
        <v>205</v>
      </c>
      <c r="BK45" s="18"/>
      <c r="BL45" s="18"/>
      <c r="BM45" s="18">
        <v>7.28</v>
      </c>
      <c r="BN45" s="17">
        <v>22</v>
      </c>
      <c r="BO45" s="17">
        <v>103</v>
      </c>
      <c r="BP45" s="21">
        <v>8</v>
      </c>
      <c r="BQ45" s="21">
        <f>BO45/BR45</f>
        <v>198.07692307692307</v>
      </c>
      <c r="BR45" s="18">
        <v>0.52</v>
      </c>
      <c r="BU45" s="20">
        <v>25</v>
      </c>
      <c r="BV45" s="22">
        <v>53.320107327383035</v>
      </c>
      <c r="BW45" s="18">
        <f t="shared" si="27"/>
        <v>1</v>
      </c>
      <c r="BX45" s="18">
        <f t="shared" si="28"/>
        <v>1</v>
      </c>
      <c r="BY45" s="18">
        <f t="shared" si="29"/>
        <v>1</v>
      </c>
      <c r="BZ45" s="18">
        <f t="shared" si="30"/>
        <v>3</v>
      </c>
      <c r="CA45" s="22">
        <v>1</v>
      </c>
      <c r="CB45" s="22">
        <v>0</v>
      </c>
      <c r="CC45" s="22">
        <v>1</v>
      </c>
      <c r="CD45" s="22">
        <v>0</v>
      </c>
      <c r="CE45" s="22">
        <v>0</v>
      </c>
      <c r="CF45" s="22">
        <f t="shared" si="31"/>
        <v>2</v>
      </c>
      <c r="CG45" s="22">
        <v>2</v>
      </c>
      <c r="CH45" s="22">
        <v>8</v>
      </c>
      <c r="CI45" s="23">
        <v>1</v>
      </c>
      <c r="CJ45" s="23">
        <v>0</v>
      </c>
      <c r="CK45" s="23">
        <v>0</v>
      </c>
      <c r="CL45" s="23">
        <v>0</v>
      </c>
      <c r="CM45" s="23">
        <v>8</v>
      </c>
      <c r="CN45" s="23" t="s">
        <v>203</v>
      </c>
      <c r="CO45" s="18" t="s">
        <v>491</v>
      </c>
      <c r="CP45" s="18" t="s">
        <v>205</v>
      </c>
      <c r="CQ45" s="18">
        <v>180</v>
      </c>
      <c r="CR45" s="18">
        <v>1500</v>
      </c>
      <c r="CS45" s="18" t="s">
        <v>206</v>
      </c>
      <c r="CT45" s="18" t="s">
        <v>207</v>
      </c>
      <c r="CU45" s="17">
        <v>3000</v>
      </c>
      <c r="CV45" s="18" t="s">
        <v>208</v>
      </c>
      <c r="CW45" s="17">
        <v>2300</v>
      </c>
      <c r="CX45" s="21">
        <v>1.5</v>
      </c>
      <c r="CY45" s="17">
        <v>3400</v>
      </c>
      <c r="DB45" s="17">
        <v>1</v>
      </c>
      <c r="DC45" s="17">
        <v>2</v>
      </c>
      <c r="DD45" s="17">
        <v>3</v>
      </c>
      <c r="DE45" s="17">
        <v>80</v>
      </c>
      <c r="DF45" s="17">
        <v>27</v>
      </c>
      <c r="DG45" s="21">
        <v>8.8000000000000007</v>
      </c>
      <c r="DH45" s="18">
        <v>4.3</v>
      </c>
      <c r="DI45" s="18">
        <v>129</v>
      </c>
      <c r="DJ45" s="18">
        <v>38</v>
      </c>
      <c r="DK45" s="17">
        <v>17</v>
      </c>
      <c r="DL45" s="21">
        <v>17</v>
      </c>
      <c r="DM45" s="21">
        <v>59</v>
      </c>
      <c r="DN45" s="18">
        <v>2.8</v>
      </c>
      <c r="DO45" s="18"/>
      <c r="DP45" s="21">
        <v>32</v>
      </c>
      <c r="DQ45" s="18">
        <v>2.1</v>
      </c>
      <c r="DR45" s="18">
        <v>14</v>
      </c>
      <c r="DY45" s="18">
        <v>132</v>
      </c>
      <c r="DZ45" s="18">
        <v>3.1</v>
      </c>
      <c r="EA45" s="18">
        <v>103</v>
      </c>
      <c r="EB45" s="18">
        <v>364</v>
      </c>
      <c r="EC45" s="18">
        <v>678</v>
      </c>
      <c r="ED45" s="17">
        <v>925</v>
      </c>
      <c r="EE45" s="18">
        <v>7.33</v>
      </c>
      <c r="EF45" s="18">
        <v>43</v>
      </c>
      <c r="EG45" s="18">
        <v>112</v>
      </c>
      <c r="EH45" s="18">
        <v>19</v>
      </c>
      <c r="EI45" s="18">
        <f t="shared" si="40"/>
        <v>533.33333333333337</v>
      </c>
      <c r="EJ45" s="18">
        <v>0.3</v>
      </c>
      <c r="EL45" s="18">
        <v>2</v>
      </c>
      <c r="EM45" s="18">
        <v>3</v>
      </c>
      <c r="EN45" s="22">
        <v>26</v>
      </c>
      <c r="EO45" s="22">
        <v>56.93010435855571</v>
      </c>
      <c r="EP45" s="18">
        <f t="shared" si="32"/>
        <v>0</v>
      </c>
      <c r="EQ45" s="18">
        <f t="shared" si="33"/>
        <v>1</v>
      </c>
      <c r="ER45" s="18">
        <f t="shared" si="34"/>
        <v>1</v>
      </c>
      <c r="ES45" s="18">
        <f t="shared" si="35"/>
        <v>2</v>
      </c>
      <c r="ET45" s="22">
        <v>1</v>
      </c>
      <c r="EU45" s="22">
        <v>1</v>
      </c>
      <c r="EV45" s="22">
        <v>0</v>
      </c>
      <c r="EW45" s="22">
        <v>0</v>
      </c>
      <c r="EX45" s="22">
        <v>0</v>
      </c>
      <c r="EY45" s="22">
        <f t="shared" si="36"/>
        <v>2</v>
      </c>
      <c r="EZ45" s="22">
        <v>7</v>
      </c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7">
        <v>925</v>
      </c>
      <c r="FT45" s="18"/>
      <c r="FU45" s="18"/>
      <c r="FV45" s="18"/>
      <c r="FW45" s="18"/>
      <c r="FX45" s="18"/>
      <c r="FY45" s="18"/>
      <c r="FZ45" s="18"/>
      <c r="GA45" s="18"/>
      <c r="GB45" s="22">
        <v>11</v>
      </c>
      <c r="GC45" s="22">
        <v>26</v>
      </c>
      <c r="GD45" s="22">
        <v>1</v>
      </c>
      <c r="GE45" s="18"/>
      <c r="GF45" s="18">
        <f t="shared" si="37"/>
        <v>0.69166666666666665</v>
      </c>
      <c r="GG45" s="17">
        <f>BI45-FS45</f>
        <v>2075</v>
      </c>
      <c r="GH45" s="17">
        <f t="shared" si="38"/>
        <v>0</v>
      </c>
      <c r="GI45" s="17">
        <f t="shared" si="23"/>
        <v>-1</v>
      </c>
    </row>
    <row r="46" spans="1:193" ht="18" customHeight="1" x14ac:dyDescent="0.45">
      <c r="A46" s="14">
        <v>44</v>
      </c>
      <c r="B46" s="35">
        <v>2200017721</v>
      </c>
      <c r="C46" s="15" t="s">
        <v>435</v>
      </c>
      <c r="D46" s="16">
        <v>0</v>
      </c>
      <c r="E46" s="17">
        <v>1982</v>
      </c>
      <c r="F46" s="17">
        <f t="shared" si="24"/>
        <v>41</v>
      </c>
      <c r="G46" s="18" t="s">
        <v>237</v>
      </c>
      <c r="H46" s="18" t="s">
        <v>234</v>
      </c>
      <c r="I46" s="17">
        <v>0</v>
      </c>
      <c r="J46" s="18">
        <f t="shared" si="25"/>
        <v>3.456</v>
      </c>
      <c r="K46" s="17">
        <v>72</v>
      </c>
      <c r="L46" s="17">
        <v>166</v>
      </c>
      <c r="M46" s="18">
        <f t="shared" si="41"/>
        <v>26.1286108288576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1</v>
      </c>
      <c r="U46" s="17">
        <v>1</v>
      </c>
      <c r="V46" s="19" t="s">
        <v>238</v>
      </c>
      <c r="W46" s="17">
        <v>24</v>
      </c>
      <c r="X46" s="20">
        <v>8</v>
      </c>
      <c r="Y46" s="17">
        <v>2</v>
      </c>
      <c r="Z46" s="17">
        <v>9</v>
      </c>
      <c r="AA46" s="17">
        <v>100</v>
      </c>
      <c r="AB46" s="17">
        <v>140</v>
      </c>
      <c r="AC46" s="17">
        <v>100</v>
      </c>
      <c r="AD46" s="18">
        <f t="shared" si="26"/>
        <v>113.33333333333333</v>
      </c>
      <c r="AE46" s="18">
        <v>20</v>
      </c>
      <c r="AF46" s="17">
        <v>37</v>
      </c>
      <c r="AG46" s="17">
        <v>1</v>
      </c>
      <c r="AH46" s="17">
        <v>0</v>
      </c>
      <c r="AI46" s="17">
        <v>0</v>
      </c>
      <c r="AJ46" s="17">
        <v>13</v>
      </c>
      <c r="AK46" s="18">
        <v>16</v>
      </c>
      <c r="AL46" s="18">
        <v>4.9000000000000004</v>
      </c>
      <c r="AM46" s="18">
        <v>199</v>
      </c>
      <c r="AN46" s="18">
        <v>43</v>
      </c>
      <c r="AO46" s="18">
        <v>375</v>
      </c>
      <c r="AP46" s="18">
        <v>12</v>
      </c>
      <c r="AQ46" s="18">
        <v>26</v>
      </c>
      <c r="AR46" s="18"/>
      <c r="AS46" s="21">
        <v>17</v>
      </c>
      <c r="AT46" s="18"/>
      <c r="AX46" s="17">
        <v>40</v>
      </c>
      <c r="AY46" s="18">
        <v>1.02</v>
      </c>
      <c r="BA46" s="5">
        <v>0.97</v>
      </c>
      <c r="BB46" s="5">
        <v>1.03</v>
      </c>
      <c r="BC46" s="21">
        <v>81</v>
      </c>
      <c r="BD46" s="17">
        <v>124</v>
      </c>
      <c r="BE46" s="21">
        <v>2.8</v>
      </c>
      <c r="BF46" s="17">
        <v>89</v>
      </c>
      <c r="BH46" s="17">
        <v>1563</v>
      </c>
      <c r="BI46" s="17">
        <v>2010</v>
      </c>
      <c r="BJ46" s="17">
        <v>160</v>
      </c>
      <c r="BK46" s="18"/>
      <c r="BL46" s="18"/>
      <c r="BM46" s="18">
        <v>7.36</v>
      </c>
      <c r="BO46" s="17">
        <v>89</v>
      </c>
      <c r="BP46" s="21">
        <v>23</v>
      </c>
      <c r="BQ46" s="21">
        <v>400</v>
      </c>
      <c r="BR46" s="18"/>
      <c r="BU46" s="20">
        <v>8</v>
      </c>
      <c r="BV46" s="22">
        <v>8.7145290593121416</v>
      </c>
      <c r="BW46" s="18">
        <f t="shared" si="27"/>
        <v>1</v>
      </c>
      <c r="BX46" s="18">
        <f t="shared" si="28"/>
        <v>0</v>
      </c>
      <c r="BY46" s="18">
        <f t="shared" si="29"/>
        <v>1</v>
      </c>
      <c r="BZ46" s="18">
        <f t="shared" si="30"/>
        <v>2</v>
      </c>
      <c r="CA46" s="22">
        <v>1</v>
      </c>
      <c r="CB46" s="22">
        <v>0</v>
      </c>
      <c r="CC46" s="22">
        <v>1</v>
      </c>
      <c r="CD46" s="22">
        <v>0</v>
      </c>
      <c r="CE46" s="22">
        <v>0</v>
      </c>
      <c r="CF46" s="22">
        <f t="shared" si="31"/>
        <v>2</v>
      </c>
      <c r="CG46" s="22">
        <v>0</v>
      </c>
      <c r="CH46" s="22">
        <v>1</v>
      </c>
      <c r="CI46" s="23">
        <v>0</v>
      </c>
      <c r="CJ46" s="23">
        <v>0</v>
      </c>
      <c r="CK46" s="23">
        <v>0</v>
      </c>
      <c r="CL46" s="23">
        <v>0</v>
      </c>
      <c r="CM46" s="23">
        <v>3</v>
      </c>
      <c r="CN46" s="23" t="s">
        <v>214</v>
      </c>
      <c r="CO46" s="18" t="s">
        <v>239</v>
      </c>
      <c r="CP46" s="18" t="s">
        <v>235</v>
      </c>
      <c r="CQ46" s="18">
        <v>150</v>
      </c>
      <c r="CR46" s="18">
        <v>1300</v>
      </c>
      <c r="CS46" s="18" t="s">
        <v>236</v>
      </c>
      <c r="CT46" s="18" t="s">
        <v>207</v>
      </c>
      <c r="CU46" s="17">
        <v>2010</v>
      </c>
      <c r="CV46" s="18" t="s">
        <v>209</v>
      </c>
      <c r="CW46" s="17">
        <v>2700</v>
      </c>
      <c r="CX46" s="21">
        <v>1.5</v>
      </c>
      <c r="CY46" s="17">
        <v>3850</v>
      </c>
      <c r="CZ46" s="17">
        <v>2800</v>
      </c>
      <c r="DA46" s="17">
        <v>700</v>
      </c>
      <c r="DB46" s="17">
        <v>3</v>
      </c>
      <c r="DC46" s="17">
        <v>0</v>
      </c>
      <c r="DD46" s="17">
        <v>5</v>
      </c>
      <c r="DE46" s="17">
        <v>80</v>
      </c>
      <c r="DF46" s="17">
        <v>17</v>
      </c>
      <c r="DG46" s="21">
        <v>5.4</v>
      </c>
      <c r="DH46" s="18">
        <v>4.0999999999999996</v>
      </c>
      <c r="DI46" s="18">
        <v>134</v>
      </c>
      <c r="DJ46" s="18">
        <v>42.4</v>
      </c>
      <c r="DK46" s="17">
        <v>235</v>
      </c>
      <c r="DL46" s="21">
        <v>15</v>
      </c>
      <c r="DM46" s="21">
        <v>45</v>
      </c>
      <c r="DN46" s="18">
        <v>201</v>
      </c>
      <c r="DO46" s="18"/>
      <c r="DP46" s="21">
        <v>8</v>
      </c>
      <c r="DQ46" s="18">
        <v>0.23</v>
      </c>
      <c r="DR46" s="18">
        <v>78</v>
      </c>
      <c r="DY46" s="18">
        <v>133</v>
      </c>
      <c r="DZ46" s="18">
        <v>3.17</v>
      </c>
      <c r="EA46" s="18">
        <v>104</v>
      </c>
      <c r="EB46" s="18"/>
      <c r="EC46" s="18">
        <v>455</v>
      </c>
      <c r="ED46" s="17">
        <v>1815</v>
      </c>
      <c r="EE46" s="18">
        <v>7.37</v>
      </c>
      <c r="EF46" s="18">
        <v>45</v>
      </c>
      <c r="EG46" s="18">
        <v>77</v>
      </c>
      <c r="EH46" s="18">
        <v>25</v>
      </c>
      <c r="EI46" s="18">
        <f t="shared" si="40"/>
        <v>366.66666666666669</v>
      </c>
      <c r="EJ46" s="18">
        <f>EG46/EI46</f>
        <v>0.21</v>
      </c>
      <c r="EL46" s="18"/>
      <c r="EM46" s="18">
        <v>13</v>
      </c>
      <c r="EN46" s="22">
        <v>7</v>
      </c>
      <c r="EO46" s="22">
        <v>7.620944279833977</v>
      </c>
      <c r="EP46" s="18">
        <f t="shared" si="32"/>
        <v>0</v>
      </c>
      <c r="EQ46" s="18">
        <f t="shared" si="33"/>
        <v>0</v>
      </c>
      <c r="ER46" s="18">
        <f t="shared" si="34"/>
        <v>0</v>
      </c>
      <c r="ES46" s="18">
        <f t="shared" si="35"/>
        <v>0</v>
      </c>
      <c r="ET46" s="22">
        <v>0</v>
      </c>
      <c r="EU46" s="22">
        <v>0</v>
      </c>
      <c r="EV46" s="22">
        <v>0</v>
      </c>
      <c r="EW46" s="22">
        <v>0</v>
      </c>
      <c r="EX46" s="22">
        <v>0</v>
      </c>
      <c r="EY46" s="22">
        <f t="shared" si="36"/>
        <v>0</v>
      </c>
      <c r="EZ46" s="22">
        <v>0</v>
      </c>
      <c r="FA46" s="18" t="s">
        <v>240</v>
      </c>
      <c r="FB46" s="18" t="s">
        <v>209</v>
      </c>
      <c r="FC46" s="18">
        <v>8.3000000000000007</v>
      </c>
      <c r="FD46" s="18">
        <v>124</v>
      </c>
      <c r="FE46" s="18">
        <v>41</v>
      </c>
      <c r="FF46" s="18">
        <v>233</v>
      </c>
      <c r="FG46" s="18">
        <v>13</v>
      </c>
      <c r="FH46" s="18">
        <v>33</v>
      </c>
      <c r="FI46" s="18"/>
      <c r="FJ46" s="18"/>
      <c r="FK46" s="18">
        <v>17</v>
      </c>
      <c r="FL46" s="18">
        <v>0.67</v>
      </c>
      <c r="FM46" s="18">
        <v>92</v>
      </c>
      <c r="FN46" s="18">
        <v>137</v>
      </c>
      <c r="FO46" s="18">
        <v>4.2</v>
      </c>
      <c r="FP46" s="18">
        <v>109</v>
      </c>
      <c r="FQ46" s="18"/>
      <c r="FR46" s="18"/>
      <c r="FS46" s="18">
        <v>328</v>
      </c>
      <c r="FT46" s="18">
        <v>7.42</v>
      </c>
      <c r="FU46" s="18">
        <v>44</v>
      </c>
      <c r="FV46" s="18">
        <v>78</v>
      </c>
      <c r="FW46" s="18">
        <v>26</v>
      </c>
      <c r="FX46" s="18">
        <v>0.21</v>
      </c>
      <c r="FY46" s="18">
        <v>371.42857142857144</v>
      </c>
      <c r="FZ46" s="18"/>
      <c r="GA46" s="18">
        <v>14</v>
      </c>
      <c r="GB46" s="22">
        <v>0</v>
      </c>
      <c r="GC46" s="22">
        <v>3</v>
      </c>
      <c r="GD46" s="22">
        <v>0</v>
      </c>
      <c r="GE46" s="22">
        <v>4.3981843668079526</v>
      </c>
      <c r="GF46" s="18">
        <f t="shared" si="37"/>
        <v>9.7014925373134331E-2</v>
      </c>
      <c r="GG46" s="17">
        <f>BI46-ED46</f>
        <v>195</v>
      </c>
      <c r="GH46" s="17">
        <f t="shared" si="38"/>
        <v>2</v>
      </c>
      <c r="GI46" s="17">
        <f t="shared" si="23"/>
        <v>5</v>
      </c>
      <c r="GJ46" s="18">
        <f>ED46-FS46</f>
        <v>1487</v>
      </c>
      <c r="GK46" s="24">
        <f>GJ46/ED46</f>
        <v>0.81928374655647385</v>
      </c>
    </row>
    <row r="47" spans="1:193" ht="18" customHeight="1" x14ac:dyDescent="0.45">
      <c r="A47" s="14">
        <v>45</v>
      </c>
      <c r="B47" s="35">
        <v>2200082484</v>
      </c>
      <c r="C47" s="15" t="s">
        <v>274</v>
      </c>
      <c r="D47" s="16">
        <v>1</v>
      </c>
      <c r="E47" s="17">
        <v>1982</v>
      </c>
      <c r="F47" s="17">
        <f t="shared" si="24"/>
        <v>41</v>
      </c>
      <c r="G47" s="18" t="s">
        <v>211</v>
      </c>
      <c r="H47" s="18" t="s">
        <v>316</v>
      </c>
      <c r="I47" s="17">
        <v>0</v>
      </c>
      <c r="J47" s="18">
        <f t="shared" si="25"/>
        <v>4.032</v>
      </c>
      <c r="K47" s="17">
        <v>84</v>
      </c>
      <c r="L47" s="17">
        <v>164</v>
      </c>
      <c r="M47" s="18">
        <f t="shared" si="41"/>
        <v>31.231409875074366</v>
      </c>
      <c r="N47" s="17">
        <v>0</v>
      </c>
      <c r="O47" s="17">
        <v>0</v>
      </c>
      <c r="P47" s="17">
        <v>1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9" t="s">
        <v>454</v>
      </c>
      <c r="W47" s="17">
        <v>48</v>
      </c>
      <c r="X47" s="20">
        <v>18</v>
      </c>
      <c r="Y47" s="17">
        <v>1</v>
      </c>
      <c r="Z47" s="17">
        <v>10</v>
      </c>
      <c r="AA47" s="17">
        <v>161</v>
      </c>
      <c r="AB47" s="17">
        <v>110</v>
      </c>
      <c r="AC47" s="17">
        <v>60</v>
      </c>
      <c r="AD47" s="18">
        <f t="shared" si="26"/>
        <v>76.666666666666657</v>
      </c>
      <c r="AE47" s="18">
        <v>30</v>
      </c>
      <c r="AF47" s="17">
        <v>37</v>
      </c>
      <c r="AG47" s="17">
        <v>1</v>
      </c>
      <c r="AH47" s="17">
        <v>0</v>
      </c>
      <c r="AI47" s="17">
        <v>0</v>
      </c>
      <c r="AJ47" s="17">
        <v>14</v>
      </c>
      <c r="AK47" s="18">
        <v>7.49</v>
      </c>
      <c r="AL47" s="18">
        <v>7.6</v>
      </c>
      <c r="AM47" s="18">
        <v>204</v>
      </c>
      <c r="AN47" s="18">
        <v>62.4</v>
      </c>
      <c r="AO47" s="18">
        <v>233</v>
      </c>
      <c r="AP47" s="18">
        <v>16.2</v>
      </c>
      <c r="AQ47" s="18">
        <v>32</v>
      </c>
      <c r="AR47" s="18">
        <v>9.25</v>
      </c>
      <c r="AS47" s="21">
        <v>449</v>
      </c>
      <c r="AT47" s="18"/>
      <c r="AX47" s="17">
        <v>38.5</v>
      </c>
      <c r="AY47" s="18">
        <v>1.9</v>
      </c>
      <c r="BA47" s="5">
        <v>0.89</v>
      </c>
      <c r="BB47" s="5">
        <v>0.51</v>
      </c>
      <c r="BC47" s="21">
        <v>39.22</v>
      </c>
      <c r="BD47" s="17">
        <v>137</v>
      </c>
      <c r="BE47" s="21">
        <v>3.41</v>
      </c>
      <c r="BF47" s="17">
        <v>103</v>
      </c>
      <c r="BH47" s="17">
        <v>1630</v>
      </c>
      <c r="BI47" s="17">
        <v>3843</v>
      </c>
      <c r="BJ47" s="17">
        <v>400</v>
      </c>
      <c r="BK47" s="18"/>
      <c r="BL47" s="18">
        <v>0.7</v>
      </c>
      <c r="BM47" s="18">
        <v>7.17</v>
      </c>
      <c r="BN47" s="17">
        <v>42</v>
      </c>
      <c r="BO47" s="17">
        <v>33.6</v>
      </c>
      <c r="BP47" s="21">
        <v>15</v>
      </c>
      <c r="BQ47" s="21">
        <v>104</v>
      </c>
      <c r="BR47" s="18">
        <v>0.32</v>
      </c>
      <c r="BS47" s="10">
        <v>1.76</v>
      </c>
      <c r="BT47" s="18">
        <v>9.06</v>
      </c>
      <c r="BU47" s="20">
        <v>18</v>
      </c>
      <c r="BV47" s="22">
        <v>29.131623542908642</v>
      </c>
      <c r="BW47" s="18">
        <f t="shared" si="27"/>
        <v>1</v>
      </c>
      <c r="BX47" s="18">
        <f t="shared" si="28"/>
        <v>1</v>
      </c>
      <c r="BY47" s="18">
        <f t="shared" si="29"/>
        <v>1</v>
      </c>
      <c r="BZ47" s="18">
        <f t="shared" si="30"/>
        <v>3</v>
      </c>
      <c r="CA47" s="22">
        <v>1</v>
      </c>
      <c r="CB47" s="22">
        <v>0</v>
      </c>
      <c r="CC47" s="22">
        <v>1</v>
      </c>
      <c r="CD47" s="22">
        <v>0</v>
      </c>
      <c r="CE47" s="22">
        <v>0</v>
      </c>
      <c r="CF47" s="22">
        <f t="shared" si="31"/>
        <v>2</v>
      </c>
      <c r="CG47" s="22">
        <v>1</v>
      </c>
      <c r="CH47" s="22">
        <v>5</v>
      </c>
      <c r="CI47" s="23">
        <v>1</v>
      </c>
      <c r="CJ47" s="23">
        <v>0</v>
      </c>
      <c r="CK47" s="23">
        <v>0</v>
      </c>
      <c r="CL47" s="23">
        <v>0</v>
      </c>
      <c r="CM47" s="23">
        <v>8</v>
      </c>
      <c r="CN47" s="23" t="s">
        <v>203</v>
      </c>
      <c r="CO47" s="18" t="s">
        <v>455</v>
      </c>
      <c r="CP47" s="18" t="s">
        <v>235</v>
      </c>
      <c r="CQ47" s="18">
        <v>180</v>
      </c>
      <c r="CR47" s="18">
        <v>800</v>
      </c>
      <c r="CS47" s="18" t="s">
        <v>236</v>
      </c>
      <c r="CT47" s="18" t="s">
        <v>207</v>
      </c>
      <c r="CU47" s="17">
        <f>BI47</f>
        <v>3843</v>
      </c>
      <c r="CV47" s="18" t="s">
        <v>208</v>
      </c>
      <c r="CW47" s="17">
        <v>2200</v>
      </c>
      <c r="CX47" s="21">
        <v>1</v>
      </c>
      <c r="CY47" s="17">
        <v>2200</v>
      </c>
      <c r="CZ47" s="17">
        <v>0</v>
      </c>
      <c r="DA47" s="17">
        <v>600</v>
      </c>
      <c r="DB47" s="17">
        <v>1</v>
      </c>
      <c r="DC47" s="17">
        <v>5</v>
      </c>
      <c r="DD47" s="17">
        <v>3</v>
      </c>
      <c r="DE47" s="17">
        <v>141</v>
      </c>
      <c r="DF47" s="17">
        <v>26</v>
      </c>
      <c r="DG47" s="21">
        <v>15.3</v>
      </c>
      <c r="DH47" s="18">
        <v>4.24</v>
      </c>
      <c r="DI47" s="18">
        <v>116</v>
      </c>
      <c r="DJ47" s="18">
        <v>35.200000000000003</v>
      </c>
      <c r="DK47" s="17">
        <v>45.9</v>
      </c>
      <c r="DL47" s="21">
        <v>15.4</v>
      </c>
      <c r="DM47" s="21">
        <v>31</v>
      </c>
      <c r="DN47" s="18"/>
      <c r="DO47" s="18">
        <v>7.72</v>
      </c>
      <c r="DP47" s="21">
        <v>26</v>
      </c>
      <c r="DQ47" s="18">
        <v>2.41</v>
      </c>
      <c r="DR47" s="18">
        <v>30</v>
      </c>
      <c r="DY47" s="18">
        <v>134</v>
      </c>
      <c r="DZ47" s="18">
        <v>4.3899999999999997</v>
      </c>
      <c r="EA47" s="18">
        <v>100</v>
      </c>
      <c r="EB47" s="18">
        <v>265</v>
      </c>
      <c r="EC47" s="18">
        <v>292</v>
      </c>
      <c r="ED47" s="17">
        <v>954</v>
      </c>
      <c r="EE47" s="18">
        <v>7.39</v>
      </c>
      <c r="EF47" s="18">
        <v>35</v>
      </c>
      <c r="EG47" s="18">
        <v>141</v>
      </c>
      <c r="EH47" s="18">
        <v>21</v>
      </c>
      <c r="EI47" s="18">
        <v>282</v>
      </c>
      <c r="EJ47" s="18">
        <v>0.5</v>
      </c>
      <c r="EL47" s="18">
        <v>1.89</v>
      </c>
      <c r="EM47" s="18">
        <v>14</v>
      </c>
      <c r="EN47" s="22">
        <v>14</v>
      </c>
      <c r="EO47" s="22">
        <v>18.648705693704155</v>
      </c>
      <c r="EP47" s="18">
        <f t="shared" si="32"/>
        <v>1</v>
      </c>
      <c r="EQ47" s="18">
        <f t="shared" si="33"/>
        <v>1</v>
      </c>
      <c r="ER47" s="18">
        <f t="shared" si="34"/>
        <v>0</v>
      </c>
      <c r="ES47" s="18">
        <f t="shared" si="35"/>
        <v>2</v>
      </c>
      <c r="ET47" s="22">
        <v>1</v>
      </c>
      <c r="EU47" s="22">
        <v>0</v>
      </c>
      <c r="EV47" s="22">
        <v>1</v>
      </c>
      <c r="EW47" s="22">
        <v>0</v>
      </c>
      <c r="EX47" s="22">
        <v>0</v>
      </c>
      <c r="EY47" s="22">
        <f t="shared" si="36"/>
        <v>2</v>
      </c>
      <c r="EZ47" s="22">
        <v>3</v>
      </c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7">
        <v>954</v>
      </c>
      <c r="FT47" s="18"/>
      <c r="FU47" s="18"/>
      <c r="FV47" s="18"/>
      <c r="FW47" s="18"/>
      <c r="FX47" s="18"/>
      <c r="FY47" s="18"/>
      <c r="FZ47" s="18"/>
      <c r="GA47" s="18"/>
      <c r="GB47" s="22">
        <v>3</v>
      </c>
      <c r="GC47" s="22">
        <v>14</v>
      </c>
      <c r="GD47" s="22">
        <v>0</v>
      </c>
      <c r="GE47" s="18"/>
      <c r="GF47" s="18">
        <f t="shared" si="37"/>
        <v>0.75175644028103039</v>
      </c>
      <c r="GG47" s="17">
        <f>BI47-ED47</f>
        <v>2889</v>
      </c>
      <c r="GH47" s="17">
        <f t="shared" si="38"/>
        <v>0</v>
      </c>
      <c r="GI47" s="17">
        <f t="shared" si="23"/>
        <v>4</v>
      </c>
    </row>
    <row r="48" spans="1:193" ht="18" customHeight="1" x14ac:dyDescent="0.45">
      <c r="A48" s="14">
        <v>46</v>
      </c>
      <c r="B48" s="35">
        <v>2200056272</v>
      </c>
      <c r="C48" s="15" t="s">
        <v>349</v>
      </c>
      <c r="D48" s="16">
        <v>1</v>
      </c>
      <c r="E48" s="17">
        <v>1986</v>
      </c>
      <c r="F48" s="17">
        <f t="shared" si="24"/>
        <v>37</v>
      </c>
      <c r="G48" s="18" t="s">
        <v>237</v>
      </c>
      <c r="H48" s="18" t="s">
        <v>316</v>
      </c>
      <c r="I48" s="17">
        <v>0</v>
      </c>
      <c r="J48" s="18">
        <f t="shared" si="25"/>
        <v>3.36</v>
      </c>
      <c r="K48" s="17">
        <v>70</v>
      </c>
      <c r="L48" s="17">
        <v>172</v>
      </c>
      <c r="M48" s="18">
        <f t="shared" si="41"/>
        <v>23.661438615467823</v>
      </c>
      <c r="N48" s="17">
        <v>1</v>
      </c>
      <c r="O48" s="17">
        <v>1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9">
        <v>44837</v>
      </c>
      <c r="W48" s="17">
        <v>48</v>
      </c>
      <c r="X48" s="20">
        <v>18</v>
      </c>
      <c r="Y48" s="17">
        <v>1</v>
      </c>
      <c r="Z48" s="17">
        <v>240</v>
      </c>
      <c r="AA48" s="17">
        <v>128</v>
      </c>
      <c r="AB48" s="17">
        <v>120</v>
      </c>
      <c r="AC48" s="17">
        <v>70</v>
      </c>
      <c r="AD48" s="18">
        <f t="shared" si="26"/>
        <v>86.666666666666657</v>
      </c>
      <c r="AE48" s="18">
        <v>24</v>
      </c>
      <c r="AF48" s="17">
        <v>37</v>
      </c>
      <c r="AG48" s="17">
        <v>1</v>
      </c>
      <c r="AH48" s="17">
        <v>1</v>
      </c>
      <c r="AI48" s="17">
        <v>0</v>
      </c>
      <c r="AJ48" s="17">
        <v>7</v>
      </c>
      <c r="AK48" s="18">
        <v>9</v>
      </c>
      <c r="AL48" s="18">
        <v>3.5</v>
      </c>
      <c r="AM48" s="18">
        <v>114</v>
      </c>
      <c r="AN48" s="18">
        <v>33.700000000000003</v>
      </c>
      <c r="AO48" s="18">
        <v>105</v>
      </c>
      <c r="AP48" s="18">
        <v>26</v>
      </c>
      <c r="AQ48" s="18">
        <v>35</v>
      </c>
      <c r="AR48" s="18">
        <v>7</v>
      </c>
      <c r="AT48" s="18">
        <v>6.9</v>
      </c>
      <c r="AX48" s="17">
        <v>18</v>
      </c>
      <c r="AY48" s="18">
        <v>1.5</v>
      </c>
      <c r="BA48" s="5">
        <v>2.33</v>
      </c>
      <c r="BB48" s="5">
        <v>1.22</v>
      </c>
      <c r="BC48" s="21">
        <v>61</v>
      </c>
      <c r="BD48" s="17">
        <v>140</v>
      </c>
      <c r="BE48" s="21">
        <v>4.9000000000000004</v>
      </c>
      <c r="BF48" s="17">
        <v>106</v>
      </c>
      <c r="BG48" s="17">
        <v>511</v>
      </c>
      <c r="BI48" s="17">
        <v>4700</v>
      </c>
      <c r="BJ48" s="17">
        <v>390</v>
      </c>
      <c r="BK48" s="18">
        <v>11.6</v>
      </c>
      <c r="BL48" s="18"/>
      <c r="BM48" s="18">
        <v>7.37</v>
      </c>
      <c r="BN48" s="17">
        <v>20</v>
      </c>
      <c r="BO48" s="17">
        <v>79</v>
      </c>
      <c r="BP48" s="21">
        <v>11.6</v>
      </c>
      <c r="BQ48" s="21">
        <f>BO48/BR48</f>
        <v>154.90196078431373</v>
      </c>
      <c r="BR48" s="18">
        <v>0.51</v>
      </c>
      <c r="BS48" s="10">
        <v>1.78</v>
      </c>
      <c r="BU48" s="20">
        <v>18</v>
      </c>
      <c r="BV48" s="22">
        <v>29.131623542908642</v>
      </c>
      <c r="BW48" s="18">
        <f t="shared" si="27"/>
        <v>1</v>
      </c>
      <c r="BX48" s="18">
        <f t="shared" si="28"/>
        <v>1</v>
      </c>
      <c r="BY48" s="18">
        <f t="shared" si="29"/>
        <v>0</v>
      </c>
      <c r="BZ48" s="18">
        <f t="shared" si="30"/>
        <v>2</v>
      </c>
      <c r="CA48" s="22">
        <v>0</v>
      </c>
      <c r="CB48" s="22">
        <v>1</v>
      </c>
      <c r="CC48" s="22">
        <v>1</v>
      </c>
      <c r="CD48" s="22">
        <v>0</v>
      </c>
      <c r="CE48" s="22">
        <v>1</v>
      </c>
      <c r="CF48" s="22">
        <f t="shared" si="31"/>
        <v>3</v>
      </c>
      <c r="CG48" s="22">
        <v>1</v>
      </c>
      <c r="CH48" s="22">
        <v>10</v>
      </c>
      <c r="CI48" s="23">
        <v>1</v>
      </c>
      <c r="CJ48" s="23">
        <v>0</v>
      </c>
      <c r="CK48" s="23">
        <v>0</v>
      </c>
      <c r="CL48" s="23">
        <v>0</v>
      </c>
      <c r="CM48" s="23">
        <v>8</v>
      </c>
      <c r="CN48" s="23" t="s">
        <v>203</v>
      </c>
      <c r="CO48" s="18" t="s">
        <v>317</v>
      </c>
      <c r="CP48" s="18" t="s">
        <v>205</v>
      </c>
      <c r="CQ48" s="18">
        <v>180</v>
      </c>
      <c r="CR48" s="18">
        <v>1500</v>
      </c>
      <c r="CS48" s="18" t="s">
        <v>206</v>
      </c>
      <c r="CT48" s="18" t="s">
        <v>207</v>
      </c>
      <c r="CU48" s="17">
        <f>BI48</f>
        <v>4700</v>
      </c>
      <c r="CV48" s="18" t="s">
        <v>208</v>
      </c>
      <c r="CW48" s="17">
        <v>2700</v>
      </c>
      <c r="CX48" s="21">
        <v>1.5</v>
      </c>
      <c r="CY48" s="17">
        <v>4000</v>
      </c>
      <c r="DB48" s="17">
        <v>1</v>
      </c>
      <c r="DC48" s="17">
        <v>1</v>
      </c>
      <c r="DD48" s="17">
        <v>3</v>
      </c>
      <c r="DE48" s="17">
        <v>118</v>
      </c>
      <c r="DF48" s="17">
        <v>20</v>
      </c>
      <c r="DG48" s="21">
        <v>6</v>
      </c>
      <c r="DH48" s="18">
        <v>2.9</v>
      </c>
      <c r="DI48" s="18">
        <v>94</v>
      </c>
      <c r="DJ48" s="18">
        <v>28</v>
      </c>
      <c r="DK48" s="17">
        <v>72</v>
      </c>
      <c r="DL48" s="21">
        <v>17</v>
      </c>
      <c r="DM48" s="21">
        <v>68</v>
      </c>
      <c r="DN48" s="18"/>
      <c r="DO48" s="18">
        <v>4.5</v>
      </c>
      <c r="DP48" s="21">
        <v>31</v>
      </c>
      <c r="DQ48" s="18">
        <v>3.8</v>
      </c>
      <c r="DR48" s="18">
        <v>19</v>
      </c>
      <c r="DY48" s="18">
        <v>146</v>
      </c>
      <c r="DZ48" s="18">
        <v>2.2000000000000002</v>
      </c>
      <c r="EA48" s="18">
        <v>109</v>
      </c>
      <c r="EB48" s="18"/>
      <c r="EC48" s="18"/>
      <c r="ED48" s="17">
        <v>360</v>
      </c>
      <c r="EE48" s="18">
        <v>7.47</v>
      </c>
      <c r="EF48" s="18">
        <v>29</v>
      </c>
      <c r="EG48" s="18">
        <v>61</v>
      </c>
      <c r="EH48" s="18">
        <v>21</v>
      </c>
      <c r="EI48" s="18">
        <f>EG48/0.21</f>
        <v>290.47619047619048</v>
      </c>
      <c r="EJ48" s="18">
        <f t="shared" ref="EJ48:EJ56" si="42">EG48/EI48</f>
        <v>0.21</v>
      </c>
      <c r="EL48" s="18"/>
      <c r="EM48" s="18">
        <v>14</v>
      </c>
      <c r="EN48" s="22">
        <v>20</v>
      </c>
      <c r="EO48" s="22">
        <v>35.50303460262775</v>
      </c>
      <c r="EP48" s="18">
        <f t="shared" si="32"/>
        <v>1</v>
      </c>
      <c r="EQ48" s="18">
        <f t="shared" si="33"/>
        <v>0</v>
      </c>
      <c r="ER48" s="18">
        <f t="shared" si="34"/>
        <v>1</v>
      </c>
      <c r="ES48" s="18">
        <f t="shared" si="35"/>
        <v>2</v>
      </c>
      <c r="ET48" s="22">
        <v>1</v>
      </c>
      <c r="EU48" s="22">
        <v>0</v>
      </c>
      <c r="EV48" s="22">
        <v>0</v>
      </c>
      <c r="EW48" s="22">
        <v>0</v>
      </c>
      <c r="EX48" s="22">
        <v>1</v>
      </c>
      <c r="EY48" s="22">
        <f t="shared" si="36"/>
        <v>2</v>
      </c>
      <c r="EZ48" s="22">
        <v>9</v>
      </c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7">
        <v>360</v>
      </c>
      <c r="FT48" s="18"/>
      <c r="FU48" s="18"/>
      <c r="FV48" s="18"/>
      <c r="FW48" s="18"/>
      <c r="FX48" s="18"/>
      <c r="FY48" s="18"/>
      <c r="FZ48" s="18"/>
      <c r="GA48" s="18"/>
      <c r="GB48" s="22">
        <v>9</v>
      </c>
      <c r="GC48" s="22">
        <v>20</v>
      </c>
      <c r="GD48" s="22">
        <v>0</v>
      </c>
      <c r="GE48" s="18"/>
      <c r="GF48" s="18">
        <f t="shared" si="37"/>
        <v>0.92340425531914894</v>
      </c>
      <c r="GG48" s="17">
        <f>BI48-ED48</f>
        <v>4340</v>
      </c>
      <c r="GH48" s="17">
        <f t="shared" si="38"/>
        <v>1</v>
      </c>
      <c r="GI48" s="17">
        <f t="shared" si="23"/>
        <v>-2</v>
      </c>
    </row>
    <row r="49" spans="1:193" ht="18" customHeight="1" x14ac:dyDescent="0.45">
      <c r="A49" s="14">
        <v>47</v>
      </c>
      <c r="B49" s="35">
        <v>2200057955</v>
      </c>
      <c r="C49" s="15" t="s">
        <v>385</v>
      </c>
      <c r="D49" s="16">
        <v>1</v>
      </c>
      <c r="E49" s="17">
        <v>1963</v>
      </c>
      <c r="F49" s="17">
        <f t="shared" si="24"/>
        <v>60</v>
      </c>
      <c r="G49" s="18" t="s">
        <v>200</v>
      </c>
      <c r="H49" s="18" t="s">
        <v>286</v>
      </c>
      <c r="I49" s="17">
        <v>0</v>
      </c>
      <c r="J49" s="18">
        <f t="shared" si="25"/>
        <v>4.08</v>
      </c>
      <c r="K49" s="17">
        <v>85</v>
      </c>
      <c r="L49" s="17">
        <v>170</v>
      </c>
      <c r="M49" s="18">
        <f t="shared" si="41"/>
        <v>29.411764705882355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9" t="s">
        <v>306</v>
      </c>
      <c r="W49" s="17">
        <v>12</v>
      </c>
      <c r="X49" s="20">
        <v>10</v>
      </c>
      <c r="Y49" s="17">
        <v>1</v>
      </c>
      <c r="Z49" s="17">
        <v>5</v>
      </c>
      <c r="AA49" s="17">
        <v>100</v>
      </c>
      <c r="AB49" s="17">
        <v>150</v>
      </c>
      <c r="AC49" s="17">
        <v>60</v>
      </c>
      <c r="AD49" s="18">
        <f t="shared" si="26"/>
        <v>90</v>
      </c>
      <c r="AE49" s="18">
        <v>20</v>
      </c>
      <c r="AF49" s="17">
        <v>37</v>
      </c>
      <c r="AG49" s="17">
        <v>0</v>
      </c>
      <c r="AH49" s="17">
        <v>1</v>
      </c>
      <c r="AI49" s="17">
        <v>0</v>
      </c>
      <c r="AJ49" s="17">
        <v>14</v>
      </c>
      <c r="AK49" s="18">
        <v>12</v>
      </c>
      <c r="AL49" s="18">
        <v>5.0999999999999996</v>
      </c>
      <c r="AM49" s="18">
        <v>164</v>
      </c>
      <c r="AN49" s="18">
        <v>42</v>
      </c>
      <c r="AO49" s="18">
        <v>242</v>
      </c>
      <c r="AP49" s="18">
        <v>13</v>
      </c>
      <c r="AQ49" s="18">
        <v>29</v>
      </c>
      <c r="AR49" s="18">
        <v>4</v>
      </c>
      <c r="AT49" s="18"/>
      <c r="AX49" s="17">
        <v>12</v>
      </c>
      <c r="AY49" s="18">
        <v>0.59</v>
      </c>
      <c r="BC49" s="21">
        <v>112</v>
      </c>
      <c r="BD49" s="17">
        <v>126</v>
      </c>
      <c r="BE49" s="21">
        <v>4</v>
      </c>
      <c r="BF49" s="17">
        <v>95</v>
      </c>
      <c r="BG49" s="17">
        <v>404</v>
      </c>
      <c r="BI49" s="17">
        <v>4830</v>
      </c>
      <c r="BJ49" s="17">
        <v>301</v>
      </c>
      <c r="BK49" s="18"/>
      <c r="BL49" s="18"/>
      <c r="BM49" s="18">
        <v>7.39</v>
      </c>
      <c r="BN49" s="17">
        <v>31</v>
      </c>
      <c r="BO49" s="17">
        <v>89</v>
      </c>
      <c r="BP49" s="21">
        <v>19</v>
      </c>
      <c r="BR49" s="18"/>
      <c r="BU49" s="20">
        <v>10</v>
      </c>
      <c r="BV49" s="22">
        <v>11.334697884966939</v>
      </c>
      <c r="BW49" s="18">
        <f t="shared" si="27"/>
        <v>1</v>
      </c>
      <c r="BX49" s="18">
        <f t="shared" si="28"/>
        <v>0</v>
      </c>
      <c r="BY49" s="18">
        <f t="shared" si="29"/>
        <v>0</v>
      </c>
      <c r="BZ49" s="18">
        <f t="shared" si="30"/>
        <v>1</v>
      </c>
      <c r="CA49" s="22">
        <v>0</v>
      </c>
      <c r="CB49" s="22">
        <v>0</v>
      </c>
      <c r="CC49" s="22">
        <v>0</v>
      </c>
      <c r="CD49" s="22">
        <v>0</v>
      </c>
      <c r="CE49" s="22">
        <v>1</v>
      </c>
      <c r="CF49" s="22">
        <f t="shared" si="31"/>
        <v>1</v>
      </c>
      <c r="CG49" s="22">
        <v>2</v>
      </c>
      <c r="CH49" s="22">
        <v>1</v>
      </c>
      <c r="CI49" s="23">
        <v>0</v>
      </c>
      <c r="CJ49" s="23">
        <v>1</v>
      </c>
      <c r="CK49" s="23">
        <v>0</v>
      </c>
      <c r="CL49" s="23">
        <v>0</v>
      </c>
      <c r="CM49" s="23">
        <v>4</v>
      </c>
      <c r="CN49" s="23" t="s">
        <v>203</v>
      </c>
      <c r="CO49" s="18" t="s">
        <v>307</v>
      </c>
      <c r="CP49" s="18" t="s">
        <v>235</v>
      </c>
      <c r="CQ49" s="18">
        <v>180</v>
      </c>
      <c r="CR49" s="18">
        <v>1200</v>
      </c>
      <c r="CS49" s="18" t="s">
        <v>236</v>
      </c>
      <c r="CT49" s="18" t="s">
        <v>207</v>
      </c>
      <c r="CU49" s="17">
        <f>BI49</f>
        <v>4830</v>
      </c>
      <c r="CV49" s="18" t="s">
        <v>209</v>
      </c>
      <c r="CW49" s="17">
        <v>3000</v>
      </c>
      <c r="CX49" s="21">
        <v>1.5</v>
      </c>
      <c r="CY49" s="17">
        <v>4000</v>
      </c>
      <c r="DB49" s="17">
        <v>1</v>
      </c>
      <c r="DC49" s="17">
        <v>0</v>
      </c>
      <c r="DD49" s="17">
        <v>3</v>
      </c>
      <c r="DE49" s="17">
        <v>90</v>
      </c>
      <c r="DF49" s="17">
        <v>17</v>
      </c>
      <c r="DG49" s="21">
        <v>9.6999999999999993</v>
      </c>
      <c r="DH49" s="18">
        <v>4.8</v>
      </c>
      <c r="DI49" s="18">
        <v>143</v>
      </c>
      <c r="DJ49" s="18">
        <v>42</v>
      </c>
      <c r="DK49" s="17">
        <v>208</v>
      </c>
      <c r="DL49" s="21">
        <v>23</v>
      </c>
      <c r="DM49" s="21">
        <v>47</v>
      </c>
      <c r="DN49" s="18">
        <v>169</v>
      </c>
      <c r="DO49" s="18">
        <v>1.31</v>
      </c>
      <c r="DP49" s="21">
        <v>9</v>
      </c>
      <c r="DQ49" s="18">
        <v>0.54</v>
      </c>
      <c r="DR49" s="18">
        <v>116</v>
      </c>
      <c r="DY49" s="18">
        <v>129</v>
      </c>
      <c r="DZ49" s="18">
        <v>3.5</v>
      </c>
      <c r="EA49" s="18">
        <v>101</v>
      </c>
      <c r="EB49" s="18"/>
      <c r="EC49" s="18"/>
      <c r="ED49" s="17">
        <v>554</v>
      </c>
      <c r="EE49" s="18">
        <v>7.54</v>
      </c>
      <c r="EF49" s="18">
        <v>26</v>
      </c>
      <c r="EG49" s="18">
        <v>65</v>
      </c>
      <c r="EH49" s="18">
        <v>22</v>
      </c>
      <c r="EI49" s="18">
        <f>EG49/0.4</f>
        <v>162.5</v>
      </c>
      <c r="EJ49" s="18">
        <f t="shared" si="42"/>
        <v>0.4</v>
      </c>
      <c r="EL49" s="18"/>
      <c r="EM49" s="18">
        <v>15</v>
      </c>
      <c r="EN49" s="22">
        <v>9</v>
      </c>
      <c r="EO49" s="22">
        <v>9.9481411429015392</v>
      </c>
      <c r="EP49" s="18">
        <f t="shared" si="32"/>
        <v>1</v>
      </c>
      <c r="EQ49" s="18">
        <f t="shared" si="33"/>
        <v>0</v>
      </c>
      <c r="ER49" s="18">
        <f t="shared" si="34"/>
        <v>0</v>
      </c>
      <c r="ES49" s="18">
        <f t="shared" si="35"/>
        <v>1</v>
      </c>
      <c r="ET49" s="22">
        <v>0</v>
      </c>
      <c r="EU49" s="22">
        <v>0</v>
      </c>
      <c r="EV49" s="22">
        <v>0</v>
      </c>
      <c r="EW49" s="22">
        <v>0</v>
      </c>
      <c r="EX49" s="22">
        <v>1</v>
      </c>
      <c r="EY49" s="22">
        <f t="shared" si="36"/>
        <v>1</v>
      </c>
      <c r="EZ49" s="22">
        <v>0</v>
      </c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7">
        <v>554</v>
      </c>
      <c r="FT49" s="18"/>
      <c r="FU49" s="18"/>
      <c r="FV49" s="18"/>
      <c r="FW49" s="18"/>
      <c r="FX49" s="18"/>
      <c r="FY49" s="18"/>
      <c r="FZ49" s="18"/>
      <c r="GA49" s="18"/>
      <c r="GB49" s="22">
        <v>0</v>
      </c>
      <c r="GC49" s="22">
        <v>9</v>
      </c>
      <c r="GD49" s="22">
        <v>0</v>
      </c>
      <c r="GE49" s="18"/>
      <c r="GF49" s="18">
        <f t="shared" si="37"/>
        <v>0.88530020703933743</v>
      </c>
      <c r="GG49" s="17">
        <f>BI49-FS49</f>
        <v>4276</v>
      </c>
      <c r="GH49" s="17">
        <f t="shared" si="38"/>
        <v>0</v>
      </c>
      <c r="GI49" s="17">
        <f t="shared" si="23"/>
        <v>1</v>
      </c>
    </row>
    <row r="50" spans="1:193" ht="18" customHeight="1" x14ac:dyDescent="0.45">
      <c r="A50" s="14">
        <v>48</v>
      </c>
      <c r="B50" s="35">
        <v>2200055561</v>
      </c>
      <c r="C50" s="15" t="s">
        <v>10</v>
      </c>
      <c r="D50" s="16">
        <v>0</v>
      </c>
      <c r="E50" s="17">
        <v>1968</v>
      </c>
      <c r="F50" s="17">
        <f t="shared" si="24"/>
        <v>55</v>
      </c>
      <c r="G50" s="18" t="s">
        <v>237</v>
      </c>
      <c r="H50" s="18" t="s">
        <v>261</v>
      </c>
      <c r="I50" s="17">
        <v>1</v>
      </c>
      <c r="J50" s="18">
        <f t="shared" si="25"/>
        <v>2.7360000000000002</v>
      </c>
      <c r="K50" s="17">
        <v>57</v>
      </c>
      <c r="L50" s="17">
        <v>164</v>
      </c>
      <c r="M50" s="18">
        <f t="shared" si="41"/>
        <v>21.192742415229034</v>
      </c>
      <c r="N50" s="17">
        <v>1</v>
      </c>
      <c r="O50" s="17">
        <v>1</v>
      </c>
      <c r="P50" s="17">
        <v>0</v>
      </c>
      <c r="Q50" s="17">
        <v>0</v>
      </c>
      <c r="R50" s="17">
        <v>1</v>
      </c>
      <c r="S50" s="17">
        <v>1</v>
      </c>
      <c r="T50" s="17">
        <v>0</v>
      </c>
      <c r="U50" s="17">
        <v>0</v>
      </c>
      <c r="V50" s="19" t="s">
        <v>262</v>
      </c>
      <c r="W50" s="17">
        <v>12</v>
      </c>
      <c r="X50" s="20">
        <v>9</v>
      </c>
      <c r="Y50" s="17">
        <v>2</v>
      </c>
      <c r="Z50" s="17">
        <v>7</v>
      </c>
      <c r="AA50" s="17">
        <v>90</v>
      </c>
      <c r="AB50" s="17">
        <v>110</v>
      </c>
      <c r="AC50" s="17">
        <v>60</v>
      </c>
      <c r="AD50" s="18">
        <f t="shared" si="26"/>
        <v>76.666666666666657</v>
      </c>
      <c r="AE50" s="18">
        <v>22</v>
      </c>
      <c r="AF50" s="17">
        <v>37</v>
      </c>
      <c r="AG50" s="17">
        <v>1</v>
      </c>
      <c r="AH50" s="17">
        <v>1</v>
      </c>
      <c r="AI50" s="17">
        <v>0</v>
      </c>
      <c r="AJ50" s="17">
        <v>14</v>
      </c>
      <c r="AK50" s="18">
        <v>14</v>
      </c>
      <c r="AL50" s="18">
        <v>6.2</v>
      </c>
      <c r="AM50" s="18">
        <v>156</v>
      </c>
      <c r="AN50" s="18">
        <v>41</v>
      </c>
      <c r="AO50" s="18">
        <v>406</v>
      </c>
      <c r="AP50" s="18">
        <v>12</v>
      </c>
      <c r="AQ50" s="18">
        <v>30</v>
      </c>
      <c r="AR50" s="18">
        <v>4.2</v>
      </c>
      <c r="AT50" s="18"/>
      <c r="AX50" s="17">
        <v>12</v>
      </c>
      <c r="AY50" s="18">
        <v>1.18</v>
      </c>
      <c r="BA50" s="5">
        <v>0.96</v>
      </c>
      <c r="BB50" s="5">
        <v>0.16</v>
      </c>
      <c r="BC50" s="21">
        <v>61</v>
      </c>
      <c r="BD50" s="17">
        <v>134</v>
      </c>
      <c r="BE50" s="21">
        <v>4</v>
      </c>
      <c r="BF50" s="17">
        <v>106</v>
      </c>
      <c r="BG50" s="17">
        <v>1230</v>
      </c>
      <c r="BH50" s="17">
        <v>2080</v>
      </c>
      <c r="BI50" s="17">
        <v>10370</v>
      </c>
      <c r="BJ50" s="17">
        <v>193</v>
      </c>
      <c r="BK50" s="18">
        <v>8</v>
      </c>
      <c r="BL50" s="18"/>
      <c r="BM50" s="18">
        <v>7.29</v>
      </c>
      <c r="BN50" s="17">
        <v>34</v>
      </c>
      <c r="BO50" s="17">
        <v>289</v>
      </c>
      <c r="BP50" s="21">
        <v>16.5</v>
      </c>
      <c r="BQ50" s="21">
        <f>BO50/BR50</f>
        <v>555.76923076923072</v>
      </c>
      <c r="BR50" s="18">
        <v>0.52</v>
      </c>
      <c r="BS50" s="10">
        <v>2.4700000000000002</v>
      </c>
      <c r="BU50" s="20">
        <v>9</v>
      </c>
      <c r="BV50" s="22">
        <v>9.9481411429015392</v>
      </c>
      <c r="BW50" s="18">
        <f t="shared" si="27"/>
        <v>1</v>
      </c>
      <c r="BX50" s="18">
        <f t="shared" si="28"/>
        <v>1</v>
      </c>
      <c r="BY50" s="18">
        <f t="shared" si="29"/>
        <v>0</v>
      </c>
      <c r="BZ50" s="18">
        <f t="shared" si="30"/>
        <v>2</v>
      </c>
      <c r="CA50" s="22">
        <v>0</v>
      </c>
      <c r="CB50" s="22">
        <v>0</v>
      </c>
      <c r="CC50" s="22">
        <v>0</v>
      </c>
      <c r="CD50" s="22">
        <v>0</v>
      </c>
      <c r="CE50" s="22">
        <v>1</v>
      </c>
      <c r="CF50" s="22">
        <f t="shared" si="31"/>
        <v>1</v>
      </c>
      <c r="CG50" s="22">
        <v>0</v>
      </c>
      <c r="CH50" s="22">
        <v>1</v>
      </c>
      <c r="CI50" s="23">
        <v>0</v>
      </c>
      <c r="CJ50" s="23">
        <v>1</v>
      </c>
      <c r="CK50" s="23">
        <v>0</v>
      </c>
      <c r="CL50" s="23">
        <v>0</v>
      </c>
      <c r="CM50" s="23">
        <v>4</v>
      </c>
      <c r="CN50" s="23" t="s">
        <v>203</v>
      </c>
      <c r="CO50" s="18" t="s">
        <v>263</v>
      </c>
      <c r="CP50" s="18" t="s">
        <v>205</v>
      </c>
      <c r="CQ50" s="18">
        <v>200</v>
      </c>
      <c r="CR50" s="18">
        <v>1500</v>
      </c>
      <c r="CS50" s="18" t="s">
        <v>206</v>
      </c>
      <c r="CT50" s="18" t="s">
        <v>207</v>
      </c>
      <c r="CU50" s="17">
        <f>BI50</f>
        <v>10370</v>
      </c>
      <c r="CV50" s="18" t="s">
        <v>208</v>
      </c>
      <c r="CW50" s="17">
        <v>2350</v>
      </c>
      <c r="CX50" s="21">
        <v>1.5</v>
      </c>
      <c r="CY50" s="17">
        <v>3500</v>
      </c>
      <c r="DB50" s="17">
        <v>2</v>
      </c>
      <c r="DC50" s="17">
        <v>2</v>
      </c>
      <c r="DD50" s="17">
        <v>5</v>
      </c>
      <c r="DE50" s="17">
        <v>80</v>
      </c>
      <c r="DF50" s="17">
        <v>18</v>
      </c>
      <c r="DG50" s="21">
        <v>10</v>
      </c>
      <c r="DH50" s="18">
        <v>4.2</v>
      </c>
      <c r="DI50" s="18">
        <v>123</v>
      </c>
      <c r="DJ50" s="18">
        <v>33.200000000000003</v>
      </c>
      <c r="DK50" s="17">
        <v>153</v>
      </c>
      <c r="DL50" s="21">
        <v>12</v>
      </c>
      <c r="DM50" s="21">
        <v>33</v>
      </c>
      <c r="DN50" s="18">
        <v>106</v>
      </c>
      <c r="DO50" s="18"/>
      <c r="DP50" s="21">
        <v>12</v>
      </c>
      <c r="DQ50" s="18">
        <v>0.43</v>
      </c>
      <c r="DR50" s="18">
        <v>129</v>
      </c>
      <c r="DY50" s="18">
        <v>131</v>
      </c>
      <c r="DZ50" s="18">
        <v>3.6</v>
      </c>
      <c r="EA50" s="18">
        <v>103</v>
      </c>
      <c r="EB50" s="18"/>
      <c r="EC50" s="18"/>
      <c r="ED50" s="17">
        <v>2570</v>
      </c>
      <c r="EE50" s="18">
        <v>7.4</v>
      </c>
      <c r="EF50" s="18">
        <v>30</v>
      </c>
      <c r="EG50" s="18">
        <v>77</v>
      </c>
      <c r="EH50" s="18">
        <v>23</v>
      </c>
      <c r="EI50" s="18">
        <f>EG50/0.21</f>
        <v>366.66666666666669</v>
      </c>
      <c r="EJ50" s="18">
        <f t="shared" si="42"/>
        <v>0.21</v>
      </c>
      <c r="EL50" s="18"/>
      <c r="EM50" s="18">
        <v>14</v>
      </c>
      <c r="EN50" s="22">
        <v>6</v>
      </c>
      <c r="EO50" s="22">
        <v>6.6545891108010107</v>
      </c>
      <c r="EP50" s="18">
        <f t="shared" si="32"/>
        <v>0</v>
      </c>
      <c r="EQ50" s="18">
        <f t="shared" si="33"/>
        <v>0</v>
      </c>
      <c r="ER50" s="18">
        <f t="shared" si="34"/>
        <v>0</v>
      </c>
      <c r="ES50" s="18">
        <f t="shared" si="35"/>
        <v>0</v>
      </c>
      <c r="ET50" s="22">
        <v>0</v>
      </c>
      <c r="EU50" s="22">
        <v>0</v>
      </c>
      <c r="EV50" s="22">
        <v>0</v>
      </c>
      <c r="EW50" s="22">
        <v>0</v>
      </c>
      <c r="EX50" s="22">
        <v>1</v>
      </c>
      <c r="EY50" s="22">
        <f t="shared" si="36"/>
        <v>1</v>
      </c>
      <c r="EZ50" s="22">
        <v>0</v>
      </c>
      <c r="FA50" s="18" t="s">
        <v>264</v>
      </c>
      <c r="FB50" s="18" t="s">
        <v>208</v>
      </c>
      <c r="FC50" s="18">
        <v>8.3000000000000007</v>
      </c>
      <c r="FD50" s="18">
        <v>106</v>
      </c>
      <c r="FE50" s="18">
        <v>33</v>
      </c>
      <c r="FF50" s="18">
        <v>269</v>
      </c>
      <c r="FG50" s="18">
        <v>15</v>
      </c>
      <c r="FH50" s="18">
        <v>32</v>
      </c>
      <c r="FI50" s="18"/>
      <c r="FJ50" s="18">
        <v>5.5</v>
      </c>
      <c r="FK50" s="18">
        <v>15</v>
      </c>
      <c r="FL50" s="18">
        <v>0.45</v>
      </c>
      <c r="FM50" s="18">
        <v>122</v>
      </c>
      <c r="FN50" s="18">
        <v>137</v>
      </c>
      <c r="FO50" s="18">
        <v>3.8</v>
      </c>
      <c r="FP50" s="18">
        <v>109</v>
      </c>
      <c r="FQ50" s="18">
        <v>540</v>
      </c>
      <c r="FR50" s="18">
        <v>825</v>
      </c>
      <c r="FS50" s="18">
        <v>720</v>
      </c>
      <c r="FT50" s="18">
        <v>7.38</v>
      </c>
      <c r="FU50" s="18">
        <v>41</v>
      </c>
      <c r="FV50" s="18">
        <v>101</v>
      </c>
      <c r="FW50" s="18">
        <v>28</v>
      </c>
      <c r="FX50" s="18">
        <v>0.21</v>
      </c>
      <c r="FY50" s="18">
        <v>480.95238095238096</v>
      </c>
      <c r="FZ50" s="18"/>
      <c r="GA50" s="18">
        <v>15</v>
      </c>
      <c r="GB50" s="22">
        <v>0</v>
      </c>
      <c r="GC50" s="22">
        <v>5</v>
      </c>
      <c r="GD50" s="22">
        <v>0</v>
      </c>
      <c r="GE50" s="22">
        <v>5.8030727493148637</v>
      </c>
      <c r="GF50" s="18">
        <f t="shared" si="37"/>
        <v>0.75216972034715524</v>
      </c>
      <c r="GG50" s="17">
        <f t="shared" ref="GG50:GG61" si="43">BI50-ED50</f>
        <v>7800</v>
      </c>
      <c r="GH50" s="17">
        <f t="shared" si="38"/>
        <v>0</v>
      </c>
      <c r="GI50" s="17">
        <f t="shared" si="23"/>
        <v>4</v>
      </c>
      <c r="GJ50" s="18">
        <f>ED50-FS50</f>
        <v>1850</v>
      </c>
      <c r="GK50" s="24">
        <f>GJ50/ED50</f>
        <v>0.71984435797665369</v>
      </c>
    </row>
    <row r="51" spans="1:193" ht="18" customHeight="1" x14ac:dyDescent="0.45">
      <c r="A51" s="14">
        <v>49</v>
      </c>
      <c r="B51" s="35">
        <v>2200032891</v>
      </c>
      <c r="C51" s="15" t="s">
        <v>434</v>
      </c>
      <c r="D51" s="16">
        <v>0</v>
      </c>
      <c r="E51" s="17">
        <v>1982</v>
      </c>
      <c r="F51" s="17">
        <f t="shared" si="24"/>
        <v>41</v>
      </c>
      <c r="G51" s="18" t="s">
        <v>200</v>
      </c>
      <c r="H51" s="18" t="s">
        <v>234</v>
      </c>
      <c r="I51" s="17">
        <v>0</v>
      </c>
      <c r="J51" s="18">
        <f t="shared" si="25"/>
        <v>3.36</v>
      </c>
      <c r="K51" s="17">
        <v>70</v>
      </c>
      <c r="L51" s="17">
        <v>168</v>
      </c>
      <c r="M51" s="18">
        <f t="shared" si="41"/>
        <v>24.801587301587304</v>
      </c>
      <c r="N51" s="17">
        <v>0</v>
      </c>
      <c r="O51" s="17">
        <v>1</v>
      </c>
      <c r="P51" s="17">
        <v>0</v>
      </c>
      <c r="Q51" s="17">
        <v>0</v>
      </c>
      <c r="R51" s="17">
        <v>0</v>
      </c>
      <c r="S51" s="17">
        <v>0</v>
      </c>
      <c r="T51" s="17">
        <v>1</v>
      </c>
      <c r="U51" s="17">
        <v>1</v>
      </c>
      <c r="V51" s="19" t="s">
        <v>469</v>
      </c>
      <c r="W51" s="17">
        <v>12</v>
      </c>
      <c r="X51" s="20">
        <v>9</v>
      </c>
      <c r="Y51" s="17">
        <v>1</v>
      </c>
      <c r="Z51" s="17">
        <v>11</v>
      </c>
      <c r="AA51" s="17">
        <v>110</v>
      </c>
      <c r="AB51" s="17">
        <v>130</v>
      </c>
      <c r="AC51" s="17">
        <v>70</v>
      </c>
      <c r="AD51" s="18">
        <f t="shared" si="26"/>
        <v>90</v>
      </c>
      <c r="AE51" s="18">
        <v>20</v>
      </c>
      <c r="AF51" s="17">
        <v>37</v>
      </c>
      <c r="AG51" s="17">
        <v>1</v>
      </c>
      <c r="AH51" s="17">
        <v>0</v>
      </c>
      <c r="AI51" s="17">
        <v>0</v>
      </c>
      <c r="AJ51" s="17">
        <v>15</v>
      </c>
      <c r="AK51" s="18">
        <v>15.9</v>
      </c>
      <c r="AL51" s="18">
        <v>5.9</v>
      </c>
      <c r="AM51" s="18">
        <v>180</v>
      </c>
      <c r="AN51" s="18">
        <v>50</v>
      </c>
      <c r="AO51" s="18">
        <v>237</v>
      </c>
      <c r="AP51" s="18">
        <v>14</v>
      </c>
      <c r="AQ51" s="18">
        <v>30</v>
      </c>
      <c r="AR51" s="18"/>
      <c r="AS51" s="21">
        <v>18</v>
      </c>
      <c r="AT51" s="18"/>
      <c r="AX51" s="17">
        <v>32</v>
      </c>
      <c r="AY51" s="18">
        <v>1.01</v>
      </c>
      <c r="BA51" s="5">
        <v>0.04</v>
      </c>
      <c r="BB51" s="5">
        <v>0.21</v>
      </c>
      <c r="BC51" s="21">
        <v>83</v>
      </c>
      <c r="BD51" s="17">
        <v>122</v>
      </c>
      <c r="BE51" s="21">
        <v>3.7</v>
      </c>
      <c r="BF51" s="17">
        <v>88</v>
      </c>
      <c r="BH51" s="17">
        <v>2059</v>
      </c>
      <c r="BI51" s="17">
        <v>1402</v>
      </c>
      <c r="BJ51" s="17">
        <v>301</v>
      </c>
      <c r="BK51" s="18">
        <v>11.9</v>
      </c>
      <c r="BL51" s="18">
        <v>0.56000000000000005</v>
      </c>
      <c r="BM51" s="18">
        <v>7.38</v>
      </c>
      <c r="BN51" s="17">
        <v>34</v>
      </c>
      <c r="BO51" s="17">
        <v>100</v>
      </c>
      <c r="BP51" s="21">
        <v>21</v>
      </c>
      <c r="BQ51" s="21">
        <v>476</v>
      </c>
      <c r="BR51" s="18">
        <f>BO51/BQ51</f>
        <v>0.21008403361344538</v>
      </c>
      <c r="BS51" s="10">
        <v>2.4900000000000002</v>
      </c>
      <c r="BT51" s="18">
        <v>1.4</v>
      </c>
      <c r="BU51" s="20">
        <v>9</v>
      </c>
      <c r="BV51" s="22">
        <v>9.9481411429015392</v>
      </c>
      <c r="BW51" s="18">
        <f t="shared" si="27"/>
        <v>1</v>
      </c>
      <c r="BX51" s="18">
        <f t="shared" si="28"/>
        <v>0</v>
      </c>
      <c r="BY51" s="18">
        <f t="shared" si="29"/>
        <v>1</v>
      </c>
      <c r="BZ51" s="18">
        <f t="shared" si="30"/>
        <v>2</v>
      </c>
      <c r="CA51" s="22">
        <v>1</v>
      </c>
      <c r="CB51" s="22">
        <v>0</v>
      </c>
      <c r="CC51" s="22">
        <v>1</v>
      </c>
      <c r="CD51" s="22">
        <v>0</v>
      </c>
      <c r="CE51" s="22">
        <v>0</v>
      </c>
      <c r="CF51" s="22">
        <f t="shared" si="31"/>
        <v>2</v>
      </c>
      <c r="CG51" s="22">
        <v>1</v>
      </c>
      <c r="CH51" s="22">
        <v>0</v>
      </c>
      <c r="CI51" s="23">
        <v>0</v>
      </c>
      <c r="CJ51" s="23">
        <v>1</v>
      </c>
      <c r="CK51" s="23">
        <v>0</v>
      </c>
      <c r="CL51" s="23">
        <v>0</v>
      </c>
      <c r="CM51" s="23">
        <v>4</v>
      </c>
      <c r="CN51" s="23" t="s">
        <v>219</v>
      </c>
      <c r="CO51" s="18" t="s">
        <v>470</v>
      </c>
      <c r="CP51" s="18" t="s">
        <v>235</v>
      </c>
      <c r="CQ51" s="18">
        <v>180</v>
      </c>
      <c r="CR51" s="18">
        <v>1200</v>
      </c>
      <c r="CS51" s="18" t="s">
        <v>236</v>
      </c>
      <c r="CT51" s="18" t="s">
        <v>207</v>
      </c>
      <c r="CU51" s="17">
        <v>2454</v>
      </c>
      <c r="CV51" s="18" t="s">
        <v>209</v>
      </c>
      <c r="CW51" s="17">
        <v>2400</v>
      </c>
      <c r="CX51" s="21">
        <v>1.5</v>
      </c>
      <c r="CY51" s="17">
        <v>3600</v>
      </c>
      <c r="CZ51" s="17">
        <v>2800</v>
      </c>
      <c r="DA51" s="17">
        <v>1200</v>
      </c>
      <c r="DB51" s="17">
        <v>1</v>
      </c>
      <c r="DC51" s="17">
        <v>0</v>
      </c>
      <c r="DD51" s="17">
        <v>3</v>
      </c>
      <c r="DE51" s="17">
        <v>100</v>
      </c>
      <c r="DF51" s="17">
        <v>18</v>
      </c>
      <c r="DG51" s="21">
        <v>9.6999999999999993</v>
      </c>
      <c r="DH51" s="18">
        <v>5.7</v>
      </c>
      <c r="DI51" s="18">
        <v>165</v>
      </c>
      <c r="DJ51" s="18">
        <v>49</v>
      </c>
      <c r="DK51" s="17">
        <v>128</v>
      </c>
      <c r="DL51" s="21">
        <v>12</v>
      </c>
      <c r="DM51" s="21">
        <v>43</v>
      </c>
      <c r="DN51" s="18"/>
      <c r="DO51" s="18"/>
      <c r="DP51" s="21">
        <v>22</v>
      </c>
      <c r="DQ51" s="18">
        <v>1.1299999999999999</v>
      </c>
      <c r="DR51" s="18">
        <v>73</v>
      </c>
      <c r="DY51" s="18">
        <v>137</v>
      </c>
      <c r="DZ51" s="18">
        <v>3.76</v>
      </c>
      <c r="EA51" s="18">
        <v>103</v>
      </c>
      <c r="EB51" s="18"/>
      <c r="EC51" s="18"/>
      <c r="ED51" s="17">
        <v>644</v>
      </c>
      <c r="EE51" s="18">
        <v>7.41</v>
      </c>
      <c r="EF51" s="18">
        <v>43</v>
      </c>
      <c r="EG51" s="18">
        <v>91</v>
      </c>
      <c r="EH51" s="18">
        <v>23</v>
      </c>
      <c r="EI51" s="18">
        <f>EG51/0.21</f>
        <v>433.33333333333337</v>
      </c>
      <c r="EJ51" s="18">
        <f t="shared" si="42"/>
        <v>0.21</v>
      </c>
      <c r="EL51" s="18"/>
      <c r="EM51" s="18">
        <v>14</v>
      </c>
      <c r="EN51" s="22">
        <v>4</v>
      </c>
      <c r="EO51" s="22">
        <v>5.0546156919954752</v>
      </c>
      <c r="EP51" s="18">
        <f t="shared" si="32"/>
        <v>1</v>
      </c>
      <c r="EQ51" s="18">
        <f t="shared" si="33"/>
        <v>0</v>
      </c>
      <c r="ER51" s="18">
        <f t="shared" si="34"/>
        <v>0</v>
      </c>
      <c r="ES51" s="18">
        <f t="shared" si="35"/>
        <v>1</v>
      </c>
      <c r="ET51" s="22">
        <v>0</v>
      </c>
      <c r="EU51" s="22">
        <v>0</v>
      </c>
      <c r="EV51" s="22">
        <v>0</v>
      </c>
      <c r="EW51" s="22">
        <v>0</v>
      </c>
      <c r="EX51" s="22">
        <v>0</v>
      </c>
      <c r="EY51" s="22">
        <f t="shared" si="36"/>
        <v>0</v>
      </c>
      <c r="EZ51" s="22">
        <v>0</v>
      </c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7">
        <v>644</v>
      </c>
      <c r="FT51" s="18"/>
      <c r="FU51" s="18"/>
      <c r="FV51" s="18"/>
      <c r="FW51" s="18"/>
      <c r="FX51" s="18"/>
      <c r="FY51" s="18"/>
      <c r="FZ51" s="18"/>
      <c r="GA51" s="18"/>
      <c r="GB51" s="22">
        <v>0</v>
      </c>
      <c r="GC51" s="22">
        <v>4</v>
      </c>
      <c r="GD51" s="22">
        <v>0</v>
      </c>
      <c r="GE51" s="18"/>
      <c r="GF51" s="18">
        <f t="shared" si="37"/>
        <v>0.54065620542082737</v>
      </c>
      <c r="GG51" s="17">
        <f t="shared" si="43"/>
        <v>758</v>
      </c>
      <c r="GH51" s="17">
        <f t="shared" si="38"/>
        <v>2</v>
      </c>
      <c r="GI51" s="17">
        <f t="shared" si="23"/>
        <v>5</v>
      </c>
    </row>
    <row r="52" spans="1:193" ht="18" customHeight="1" x14ac:dyDescent="0.45">
      <c r="A52" s="14">
        <v>50</v>
      </c>
      <c r="B52" s="35">
        <v>2210010879</v>
      </c>
      <c r="C52" s="15" t="s">
        <v>417</v>
      </c>
      <c r="D52" s="16">
        <v>0</v>
      </c>
      <c r="E52" s="17">
        <v>1977</v>
      </c>
      <c r="F52" s="17">
        <f t="shared" si="24"/>
        <v>46</v>
      </c>
      <c r="G52" s="18" t="s">
        <v>237</v>
      </c>
      <c r="H52" s="18" t="s">
        <v>234</v>
      </c>
      <c r="I52" s="17">
        <v>1</v>
      </c>
      <c r="J52" s="18">
        <f t="shared" si="25"/>
        <v>3.6960000000000002</v>
      </c>
      <c r="K52" s="17">
        <v>77</v>
      </c>
      <c r="L52" s="17">
        <v>160</v>
      </c>
      <c r="M52" s="18">
        <f t="shared" si="41"/>
        <v>30.078124999999993</v>
      </c>
      <c r="N52" s="17">
        <v>1</v>
      </c>
      <c r="O52" s="17">
        <v>1</v>
      </c>
      <c r="P52" s="17">
        <v>0</v>
      </c>
      <c r="Q52" s="17">
        <v>0</v>
      </c>
      <c r="R52" s="17">
        <v>1</v>
      </c>
      <c r="S52" s="17">
        <v>0</v>
      </c>
      <c r="T52" s="17">
        <v>0</v>
      </c>
      <c r="U52" s="17">
        <v>0</v>
      </c>
      <c r="V52" s="19">
        <v>44750</v>
      </c>
      <c r="W52" s="17">
        <v>12</v>
      </c>
      <c r="X52" s="20">
        <v>9</v>
      </c>
      <c r="Y52" s="17">
        <v>1</v>
      </c>
      <c r="Z52" s="17">
        <v>11</v>
      </c>
      <c r="AA52" s="17">
        <v>80</v>
      </c>
      <c r="AB52" s="17">
        <v>95</v>
      </c>
      <c r="AC52" s="17">
        <v>60</v>
      </c>
      <c r="AD52" s="18">
        <f t="shared" si="26"/>
        <v>71.666666666666671</v>
      </c>
      <c r="AE52" s="18">
        <v>18</v>
      </c>
      <c r="AF52" s="17">
        <v>37</v>
      </c>
      <c r="AG52" s="17">
        <v>1</v>
      </c>
      <c r="AH52" s="17">
        <v>0</v>
      </c>
      <c r="AI52" s="17">
        <v>0</v>
      </c>
      <c r="AJ52" s="17">
        <v>13</v>
      </c>
      <c r="AK52" s="18">
        <v>5.83</v>
      </c>
      <c r="AL52" s="18">
        <v>4.0999999999999996</v>
      </c>
      <c r="AM52" s="18">
        <v>121</v>
      </c>
      <c r="AN52" s="18">
        <v>35.799999999999997</v>
      </c>
      <c r="AO52" s="18">
        <v>228</v>
      </c>
      <c r="AP52" s="18">
        <v>11.1</v>
      </c>
      <c r="AQ52" s="18">
        <v>31.2</v>
      </c>
      <c r="AR52" s="18"/>
      <c r="AS52" s="21">
        <v>10</v>
      </c>
      <c r="AT52" s="18"/>
      <c r="AX52" s="17">
        <v>52.13</v>
      </c>
      <c r="AY52" s="18">
        <v>1.35</v>
      </c>
      <c r="BC52" s="21">
        <v>42</v>
      </c>
      <c r="BD52" s="17">
        <v>124</v>
      </c>
      <c r="BE52" s="21">
        <v>4.62</v>
      </c>
      <c r="BF52" s="17">
        <v>96</v>
      </c>
      <c r="BH52" s="17">
        <v>328.63</v>
      </c>
      <c r="BI52" s="17">
        <v>1410</v>
      </c>
      <c r="BJ52" s="17">
        <v>120</v>
      </c>
      <c r="BK52" s="18"/>
      <c r="BL52" s="18"/>
      <c r="BM52" s="18">
        <v>7.35</v>
      </c>
      <c r="BN52" s="17">
        <v>35</v>
      </c>
      <c r="BO52" s="17">
        <v>95</v>
      </c>
      <c r="BP52" s="21">
        <v>17.7</v>
      </c>
      <c r="BQ52" s="21">
        <v>452</v>
      </c>
      <c r="BR52" s="18">
        <f>BO52/BQ52</f>
        <v>0.21017699115044247</v>
      </c>
      <c r="BT52" s="18">
        <v>2.12</v>
      </c>
      <c r="BU52" s="20">
        <v>9</v>
      </c>
      <c r="BV52" s="22">
        <v>9.9481411429015392</v>
      </c>
      <c r="BW52" s="18">
        <f t="shared" si="27"/>
        <v>0</v>
      </c>
      <c r="BX52" s="18">
        <f t="shared" si="28"/>
        <v>0</v>
      </c>
      <c r="BY52" s="18">
        <f t="shared" si="29"/>
        <v>1</v>
      </c>
      <c r="BZ52" s="18">
        <f t="shared" si="30"/>
        <v>1</v>
      </c>
      <c r="CA52" s="22">
        <v>1</v>
      </c>
      <c r="CB52" s="22">
        <v>0</v>
      </c>
      <c r="CC52" s="22">
        <v>0</v>
      </c>
      <c r="CD52" s="22">
        <v>0</v>
      </c>
      <c r="CE52" s="22">
        <v>0</v>
      </c>
      <c r="CF52" s="22">
        <f t="shared" si="31"/>
        <v>1</v>
      </c>
      <c r="CG52" s="22">
        <v>0</v>
      </c>
      <c r="CH52" s="22">
        <v>2</v>
      </c>
      <c r="CI52" s="23">
        <v>0</v>
      </c>
      <c r="CJ52" s="23">
        <v>1</v>
      </c>
      <c r="CK52" s="23">
        <v>0</v>
      </c>
      <c r="CL52" s="23">
        <v>0</v>
      </c>
      <c r="CM52" s="23">
        <v>4</v>
      </c>
      <c r="CN52" s="23" t="s">
        <v>219</v>
      </c>
      <c r="CO52" s="18">
        <v>0.51388888888888895</v>
      </c>
      <c r="CP52" s="18" t="s">
        <v>235</v>
      </c>
      <c r="CQ52" s="18">
        <v>200</v>
      </c>
      <c r="CR52" s="18">
        <v>1500</v>
      </c>
      <c r="CS52" s="18" t="s">
        <v>236</v>
      </c>
      <c r="CT52" s="18" t="s">
        <v>207</v>
      </c>
      <c r="CU52" s="17">
        <f>BI52</f>
        <v>1410</v>
      </c>
      <c r="CV52" s="18" t="s">
        <v>209</v>
      </c>
      <c r="CW52" s="17">
        <v>3000</v>
      </c>
      <c r="CX52" s="21">
        <v>1.5</v>
      </c>
      <c r="CY52" s="17">
        <v>3800</v>
      </c>
      <c r="CZ52" s="17">
        <v>4000</v>
      </c>
      <c r="DA52" s="17">
        <v>1200</v>
      </c>
      <c r="DB52" s="17">
        <v>1</v>
      </c>
      <c r="DC52" s="17">
        <v>0</v>
      </c>
      <c r="DD52" s="17">
        <v>3</v>
      </c>
      <c r="DE52" s="17">
        <v>70</v>
      </c>
      <c r="DF52" s="17">
        <v>15</v>
      </c>
      <c r="DG52" s="21">
        <v>12.3</v>
      </c>
      <c r="DH52" s="18">
        <v>4.2</v>
      </c>
      <c r="DI52" s="18">
        <v>121</v>
      </c>
      <c r="DJ52" s="18">
        <v>36.1</v>
      </c>
      <c r="DK52" s="17">
        <v>169</v>
      </c>
      <c r="DL52" s="21">
        <v>16.100000000000001</v>
      </c>
      <c r="DM52" s="21">
        <v>35.6</v>
      </c>
      <c r="DN52" s="18"/>
      <c r="DO52" s="18"/>
      <c r="DP52" s="21">
        <v>47.34</v>
      </c>
      <c r="DQ52" s="18">
        <v>0.86</v>
      </c>
      <c r="DR52" s="18">
        <v>72</v>
      </c>
      <c r="DY52" s="18">
        <v>135</v>
      </c>
      <c r="DZ52" s="18">
        <v>4.1900000000000004</v>
      </c>
      <c r="EA52" s="18">
        <v>109</v>
      </c>
      <c r="EB52" s="18">
        <v>94</v>
      </c>
      <c r="EC52" s="18">
        <v>273.02999999999997</v>
      </c>
      <c r="ED52" s="17">
        <v>585.5</v>
      </c>
      <c r="EE52" s="18">
        <v>7.3109999999999999</v>
      </c>
      <c r="EF52" s="18">
        <v>34</v>
      </c>
      <c r="EG52" s="18">
        <v>145</v>
      </c>
      <c r="EH52" s="18">
        <v>12.7</v>
      </c>
      <c r="EI52" s="18">
        <v>449</v>
      </c>
      <c r="EJ52" s="18">
        <f t="shared" si="42"/>
        <v>0.32293986636971045</v>
      </c>
      <c r="EL52" s="18">
        <v>1.1499999999999999</v>
      </c>
      <c r="EM52" s="18">
        <v>15</v>
      </c>
      <c r="EN52" s="22">
        <v>8</v>
      </c>
      <c r="EO52" s="22">
        <v>8.7145290593121416</v>
      </c>
      <c r="EP52" s="18">
        <f t="shared" si="32"/>
        <v>0</v>
      </c>
      <c r="EQ52" s="18">
        <f t="shared" si="33"/>
        <v>0</v>
      </c>
      <c r="ER52" s="18">
        <f t="shared" si="34"/>
        <v>1</v>
      </c>
      <c r="ES52" s="18">
        <f t="shared" si="35"/>
        <v>1</v>
      </c>
      <c r="ET52" s="22">
        <v>1</v>
      </c>
      <c r="EU52" s="22">
        <v>0</v>
      </c>
      <c r="EV52" s="22">
        <v>1</v>
      </c>
      <c r="EW52" s="22">
        <v>0</v>
      </c>
      <c r="EX52" s="22">
        <v>0</v>
      </c>
      <c r="EY52" s="22">
        <f t="shared" si="36"/>
        <v>2</v>
      </c>
      <c r="EZ52" s="22">
        <v>1</v>
      </c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7">
        <v>585.5</v>
      </c>
      <c r="FT52" s="18"/>
      <c r="FU52" s="18"/>
      <c r="FV52" s="18"/>
      <c r="FW52" s="18"/>
      <c r="FX52" s="18"/>
      <c r="FY52" s="18"/>
      <c r="FZ52" s="18"/>
      <c r="GA52" s="18"/>
      <c r="GB52" s="22">
        <v>1</v>
      </c>
      <c r="GC52" s="22">
        <v>8</v>
      </c>
      <c r="GD52" s="22">
        <v>0</v>
      </c>
      <c r="GE52" s="18"/>
      <c r="GF52" s="18">
        <f t="shared" si="37"/>
        <v>0.58475177304964543</v>
      </c>
      <c r="GG52" s="17">
        <f t="shared" si="43"/>
        <v>824.5</v>
      </c>
      <c r="GH52" s="17">
        <f t="shared" si="38"/>
        <v>-1</v>
      </c>
      <c r="GI52" s="17">
        <f t="shared" si="23"/>
        <v>1</v>
      </c>
    </row>
    <row r="53" spans="1:193" ht="18" customHeight="1" x14ac:dyDescent="0.45">
      <c r="A53" s="14">
        <v>51</v>
      </c>
      <c r="B53" s="35">
        <v>2210031983</v>
      </c>
      <c r="C53" s="15" t="s">
        <v>357</v>
      </c>
      <c r="D53" s="16">
        <v>1</v>
      </c>
      <c r="E53" s="17">
        <v>1994</v>
      </c>
      <c r="F53" s="17">
        <f t="shared" si="24"/>
        <v>29</v>
      </c>
      <c r="G53" s="18" t="s">
        <v>200</v>
      </c>
      <c r="H53" s="18" t="s">
        <v>222</v>
      </c>
      <c r="I53" s="17">
        <v>1</v>
      </c>
      <c r="J53" s="18">
        <f t="shared" si="25"/>
        <v>3.1680000000000001</v>
      </c>
      <c r="K53" s="17">
        <v>66</v>
      </c>
      <c r="L53" s="17">
        <v>156</v>
      </c>
      <c r="M53" s="18">
        <f t="shared" si="41"/>
        <v>27.12031558185404</v>
      </c>
      <c r="N53" s="17">
        <v>0</v>
      </c>
      <c r="O53" s="17">
        <v>1</v>
      </c>
      <c r="P53" s="17">
        <v>0</v>
      </c>
      <c r="Q53" s="17">
        <v>0</v>
      </c>
      <c r="R53" s="17">
        <v>1</v>
      </c>
      <c r="S53" s="17">
        <v>0</v>
      </c>
      <c r="T53" s="17">
        <v>0</v>
      </c>
      <c r="U53" s="17">
        <v>0</v>
      </c>
      <c r="V53" s="19" t="s">
        <v>231</v>
      </c>
      <c r="W53" s="17">
        <v>24</v>
      </c>
      <c r="X53" s="20">
        <v>13</v>
      </c>
      <c r="Y53" s="17">
        <v>2</v>
      </c>
      <c r="Z53" s="17">
        <v>5</v>
      </c>
      <c r="AA53" s="17">
        <v>140</v>
      </c>
      <c r="AB53" s="17">
        <v>90</v>
      </c>
      <c r="AC53" s="17">
        <v>60</v>
      </c>
      <c r="AD53" s="18">
        <f t="shared" si="26"/>
        <v>70</v>
      </c>
      <c r="AE53" s="18">
        <v>20</v>
      </c>
      <c r="AF53" s="17">
        <v>37</v>
      </c>
      <c r="AG53" s="17">
        <v>1</v>
      </c>
      <c r="AH53" s="17">
        <v>1</v>
      </c>
      <c r="AI53" s="17">
        <v>0</v>
      </c>
      <c r="AJ53" s="17">
        <v>14</v>
      </c>
      <c r="AK53" s="18">
        <v>9.1999999999999993</v>
      </c>
      <c r="AL53" s="18">
        <v>5.8</v>
      </c>
      <c r="AM53" s="18">
        <v>223</v>
      </c>
      <c r="AN53" s="18">
        <v>49</v>
      </c>
      <c r="AO53" s="18">
        <v>296</v>
      </c>
      <c r="AP53" s="18">
        <v>14</v>
      </c>
      <c r="AQ53" s="18">
        <v>30</v>
      </c>
      <c r="AR53" s="18">
        <v>5.7</v>
      </c>
      <c r="AT53" s="18"/>
      <c r="AX53" s="17">
        <v>30</v>
      </c>
      <c r="AY53" s="18">
        <v>1.8</v>
      </c>
      <c r="BA53" s="5">
        <v>1.3</v>
      </c>
      <c r="BB53" s="5">
        <v>0.9</v>
      </c>
      <c r="BC53" s="21">
        <v>37</v>
      </c>
      <c r="BD53" s="17">
        <v>129</v>
      </c>
      <c r="BE53" s="21">
        <v>4</v>
      </c>
      <c r="BF53" s="17">
        <v>94</v>
      </c>
      <c r="BG53" s="17">
        <v>949</v>
      </c>
      <c r="BH53" s="17">
        <v>1900</v>
      </c>
      <c r="BI53" s="17">
        <v>10790</v>
      </c>
      <c r="BJ53" s="17">
        <v>532</v>
      </c>
      <c r="BK53" s="18">
        <v>11.5</v>
      </c>
      <c r="BL53" s="18">
        <v>40</v>
      </c>
      <c r="BM53" s="18">
        <v>7.38</v>
      </c>
      <c r="BN53" s="17">
        <v>16</v>
      </c>
      <c r="BO53" s="17">
        <v>140</v>
      </c>
      <c r="BP53" s="21">
        <v>10</v>
      </c>
      <c r="BQ53" s="21">
        <v>352</v>
      </c>
      <c r="BR53" s="18">
        <v>0.39772727272727271</v>
      </c>
      <c r="BU53" s="20">
        <v>13</v>
      </c>
      <c r="BV53" s="22">
        <v>16.534282858797354</v>
      </c>
      <c r="BW53" s="18">
        <f t="shared" si="27"/>
        <v>1</v>
      </c>
      <c r="BX53" s="18">
        <f t="shared" si="28"/>
        <v>0</v>
      </c>
      <c r="BY53" s="18">
        <f t="shared" si="29"/>
        <v>1</v>
      </c>
      <c r="BZ53" s="18">
        <f t="shared" si="30"/>
        <v>2</v>
      </c>
      <c r="CA53" s="22">
        <v>1</v>
      </c>
      <c r="CB53" s="22">
        <v>0</v>
      </c>
      <c r="CC53" s="22">
        <v>0</v>
      </c>
      <c r="CD53" s="22">
        <v>0</v>
      </c>
      <c r="CE53" s="22">
        <v>0</v>
      </c>
      <c r="CF53" s="22">
        <f t="shared" si="31"/>
        <v>1</v>
      </c>
      <c r="CG53" s="22">
        <v>1</v>
      </c>
      <c r="CH53" s="22">
        <v>4</v>
      </c>
      <c r="CI53" s="23">
        <v>0</v>
      </c>
      <c r="CJ53" s="23">
        <v>0</v>
      </c>
      <c r="CK53" s="23">
        <v>0</v>
      </c>
      <c r="CL53" s="23">
        <v>0</v>
      </c>
      <c r="CM53" s="23">
        <v>4</v>
      </c>
      <c r="CN53" s="23" t="s">
        <v>203</v>
      </c>
      <c r="CO53" s="18" t="s">
        <v>232</v>
      </c>
      <c r="CP53" s="18" t="s">
        <v>499</v>
      </c>
      <c r="CQ53" s="18">
        <v>180</v>
      </c>
      <c r="CR53" s="18">
        <v>1200</v>
      </c>
      <c r="CS53" s="18" t="s">
        <v>225</v>
      </c>
      <c r="CT53" s="18" t="s">
        <v>207</v>
      </c>
      <c r="CU53" s="17">
        <f>BI53</f>
        <v>10790</v>
      </c>
      <c r="CV53" s="18" t="s">
        <v>209</v>
      </c>
      <c r="CW53" s="17">
        <v>2000</v>
      </c>
      <c r="CX53" s="21">
        <v>1.5</v>
      </c>
      <c r="CY53" s="17">
        <v>3000</v>
      </c>
      <c r="DB53" s="17">
        <v>1</v>
      </c>
      <c r="DC53" s="17">
        <v>1</v>
      </c>
      <c r="DD53" s="17">
        <v>3</v>
      </c>
      <c r="DE53" s="17">
        <v>130</v>
      </c>
      <c r="DF53" s="17">
        <v>16</v>
      </c>
      <c r="DG53" s="21">
        <v>9</v>
      </c>
      <c r="DH53" s="18">
        <v>4.5999999999999996</v>
      </c>
      <c r="DI53" s="18">
        <v>146</v>
      </c>
      <c r="DJ53" s="18">
        <v>40</v>
      </c>
      <c r="DK53" s="17">
        <v>198</v>
      </c>
      <c r="DL53" s="21">
        <v>41</v>
      </c>
      <c r="DM53" s="21">
        <v>137</v>
      </c>
      <c r="DN53" s="18">
        <v>102</v>
      </c>
      <c r="DO53" s="18">
        <v>1.7</v>
      </c>
      <c r="DP53" s="21">
        <v>19</v>
      </c>
      <c r="DQ53" s="18">
        <v>0.4</v>
      </c>
      <c r="DR53" s="18">
        <v>67</v>
      </c>
      <c r="DY53" s="18">
        <v>148</v>
      </c>
      <c r="DZ53" s="18">
        <v>2.7</v>
      </c>
      <c r="EA53" s="18">
        <v>119</v>
      </c>
      <c r="EB53" s="18"/>
      <c r="EC53" s="18"/>
      <c r="ED53" s="17">
        <v>1930</v>
      </c>
      <c r="EE53" s="18">
        <v>7.37</v>
      </c>
      <c r="EF53" s="18">
        <v>25</v>
      </c>
      <c r="EG53" s="18">
        <v>81</v>
      </c>
      <c r="EH53" s="18">
        <v>15</v>
      </c>
      <c r="EI53" s="18">
        <v>387</v>
      </c>
      <c r="EJ53" s="18">
        <f t="shared" si="42"/>
        <v>0.20930232558139536</v>
      </c>
      <c r="EL53" s="18"/>
      <c r="EM53" s="18">
        <v>13</v>
      </c>
      <c r="EN53" s="22">
        <v>12</v>
      </c>
      <c r="EO53" s="22">
        <v>14.616523039738205</v>
      </c>
      <c r="EP53" s="18">
        <f t="shared" si="32"/>
        <v>1</v>
      </c>
      <c r="EQ53" s="18">
        <f t="shared" si="33"/>
        <v>0</v>
      </c>
      <c r="ER53" s="18">
        <f t="shared" si="34"/>
        <v>0</v>
      </c>
      <c r="ES53" s="18">
        <f t="shared" si="35"/>
        <v>1</v>
      </c>
      <c r="ET53" s="22">
        <v>0</v>
      </c>
      <c r="EU53" s="22">
        <v>0</v>
      </c>
      <c r="EV53" s="22">
        <v>0</v>
      </c>
      <c r="EW53" s="22">
        <v>0</v>
      </c>
      <c r="EX53" s="22">
        <v>0</v>
      </c>
      <c r="EY53" s="22">
        <f t="shared" si="36"/>
        <v>0</v>
      </c>
      <c r="EZ53" s="22">
        <v>3</v>
      </c>
      <c r="FA53" s="18" t="s">
        <v>233</v>
      </c>
      <c r="FB53" s="18" t="s">
        <v>209</v>
      </c>
      <c r="FC53" s="18">
        <v>11</v>
      </c>
      <c r="FD53" s="18">
        <v>129</v>
      </c>
      <c r="FE53" s="18">
        <v>38</v>
      </c>
      <c r="FF53" s="18">
        <v>92</v>
      </c>
      <c r="FG53" s="18">
        <v>26</v>
      </c>
      <c r="FH53" s="18">
        <v>41</v>
      </c>
      <c r="FI53" s="18"/>
      <c r="FJ53" s="18">
        <v>3</v>
      </c>
      <c r="FK53" s="18">
        <v>16</v>
      </c>
      <c r="FL53" s="18">
        <v>0.8</v>
      </c>
      <c r="FM53" s="18">
        <v>99</v>
      </c>
      <c r="FN53" s="18">
        <v>142</v>
      </c>
      <c r="FO53" s="18">
        <v>2.9</v>
      </c>
      <c r="FP53" s="18">
        <v>110</v>
      </c>
      <c r="FQ53" s="18"/>
      <c r="FR53" s="18"/>
      <c r="FS53" s="18">
        <v>946</v>
      </c>
      <c r="FT53" s="18">
        <v>7.41</v>
      </c>
      <c r="FU53" s="18">
        <v>39</v>
      </c>
      <c r="FV53" s="18">
        <v>99</v>
      </c>
      <c r="FW53" s="18">
        <v>23</v>
      </c>
      <c r="FX53" s="18">
        <v>0.21</v>
      </c>
      <c r="FY53" s="18">
        <v>471.42857142857144</v>
      </c>
      <c r="FZ53" s="18"/>
      <c r="GA53" s="18">
        <v>14</v>
      </c>
      <c r="GB53" s="22">
        <v>1</v>
      </c>
      <c r="GC53" s="22">
        <v>6</v>
      </c>
      <c r="GD53" s="22">
        <v>0</v>
      </c>
      <c r="GE53" s="22">
        <v>6.6545891108010107</v>
      </c>
      <c r="GF53" s="18">
        <f t="shared" si="37"/>
        <v>0.82113067655236327</v>
      </c>
      <c r="GG53" s="17">
        <f t="shared" si="43"/>
        <v>8860</v>
      </c>
      <c r="GH53" s="17">
        <f t="shared" si="38"/>
        <v>1</v>
      </c>
      <c r="GI53" s="17">
        <f t="shared" si="23"/>
        <v>7</v>
      </c>
      <c r="GJ53" s="18">
        <f>ED53-FS53</f>
        <v>984</v>
      </c>
      <c r="GK53" s="24">
        <f>GJ53/ED53</f>
        <v>0.50984455958549224</v>
      </c>
    </row>
    <row r="54" spans="1:193" ht="18" customHeight="1" x14ac:dyDescent="0.45">
      <c r="A54" s="14">
        <v>52</v>
      </c>
      <c r="B54" s="35">
        <v>2210048549</v>
      </c>
      <c r="C54" s="15" t="s">
        <v>217</v>
      </c>
      <c r="D54" s="16">
        <v>0</v>
      </c>
      <c r="E54" s="17">
        <v>1970</v>
      </c>
      <c r="F54" s="17">
        <f t="shared" si="24"/>
        <v>53</v>
      </c>
      <c r="G54" s="18" t="s">
        <v>237</v>
      </c>
      <c r="H54" s="18" t="s">
        <v>286</v>
      </c>
      <c r="I54" s="17">
        <v>0</v>
      </c>
      <c r="J54" s="18">
        <f t="shared" si="25"/>
        <v>3.1680000000000001</v>
      </c>
      <c r="K54" s="17">
        <v>66</v>
      </c>
      <c r="L54" s="17">
        <v>168</v>
      </c>
      <c r="M54" s="18">
        <f t="shared" si="41"/>
        <v>23.384353741496604</v>
      </c>
      <c r="N54" s="17">
        <v>0</v>
      </c>
      <c r="O54" s="17">
        <v>1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9" t="s">
        <v>290</v>
      </c>
      <c r="W54" s="17">
        <v>24</v>
      </c>
      <c r="X54" s="20">
        <v>29</v>
      </c>
      <c r="Y54" s="17">
        <v>1</v>
      </c>
      <c r="Z54" s="17">
        <v>7</v>
      </c>
      <c r="AA54" s="17">
        <v>140</v>
      </c>
      <c r="AB54" s="17">
        <v>100</v>
      </c>
      <c r="AC54" s="17">
        <v>50</v>
      </c>
      <c r="AD54" s="18">
        <f t="shared" si="26"/>
        <v>66.666666666666657</v>
      </c>
      <c r="AE54" s="18">
        <v>30</v>
      </c>
      <c r="AF54" s="17">
        <v>39.5</v>
      </c>
      <c r="AG54" s="17">
        <v>1</v>
      </c>
      <c r="AH54" s="17">
        <v>0</v>
      </c>
      <c r="AI54" s="17">
        <v>0</v>
      </c>
      <c r="AJ54" s="17">
        <v>12</v>
      </c>
      <c r="AK54" s="18">
        <v>12</v>
      </c>
      <c r="AL54" s="18">
        <v>4.5999999999999996</v>
      </c>
      <c r="AM54" s="18">
        <v>155</v>
      </c>
      <c r="AN54" s="18">
        <v>44</v>
      </c>
      <c r="AO54" s="18">
        <v>137</v>
      </c>
      <c r="AP54" s="18">
        <v>20</v>
      </c>
      <c r="AQ54" s="18">
        <v>53</v>
      </c>
      <c r="AR54" s="18">
        <v>4.5999999999999996</v>
      </c>
      <c r="AT54" s="18">
        <v>4.8</v>
      </c>
      <c r="AX54" s="17">
        <v>18</v>
      </c>
      <c r="AY54" s="18">
        <v>2.1</v>
      </c>
      <c r="BA54" s="5">
        <v>0.2</v>
      </c>
      <c r="BC54" s="21">
        <v>35</v>
      </c>
      <c r="BD54" s="17">
        <v>135</v>
      </c>
      <c r="BE54" s="21">
        <v>3.8</v>
      </c>
      <c r="BF54" s="17">
        <v>108</v>
      </c>
      <c r="BG54" s="17">
        <v>240</v>
      </c>
      <c r="BH54" s="17">
        <v>484</v>
      </c>
      <c r="BI54" s="17">
        <v>2140</v>
      </c>
      <c r="BJ54" s="17">
        <v>170</v>
      </c>
      <c r="BK54" s="18"/>
      <c r="BL54" s="18"/>
      <c r="BM54" s="18">
        <v>7.21</v>
      </c>
      <c r="BN54" s="17">
        <v>29</v>
      </c>
      <c r="BO54" s="17">
        <v>148</v>
      </c>
      <c r="BP54" s="21">
        <v>12</v>
      </c>
      <c r="BQ54" s="21">
        <f>BO54/BR54</f>
        <v>250.84745762711864</v>
      </c>
      <c r="BR54" s="18">
        <v>0.59</v>
      </c>
      <c r="BS54" s="10">
        <v>1.68</v>
      </c>
      <c r="BU54" s="20">
        <v>29</v>
      </c>
      <c r="BV54" s="22">
        <v>67.194605485035481</v>
      </c>
      <c r="BW54" s="18">
        <f t="shared" si="27"/>
        <v>1</v>
      </c>
      <c r="BX54" s="18">
        <f t="shared" si="28"/>
        <v>1</v>
      </c>
      <c r="BY54" s="18">
        <f t="shared" si="29"/>
        <v>0</v>
      </c>
      <c r="BZ54" s="18">
        <f t="shared" si="30"/>
        <v>2</v>
      </c>
      <c r="CA54" s="22">
        <v>0</v>
      </c>
      <c r="CB54" s="22">
        <v>1</v>
      </c>
      <c r="CC54" s="22">
        <v>1</v>
      </c>
      <c r="CD54" s="22">
        <v>0</v>
      </c>
      <c r="CE54" s="22">
        <v>0</v>
      </c>
      <c r="CF54" s="22">
        <f t="shared" si="31"/>
        <v>2</v>
      </c>
      <c r="CG54" s="22">
        <v>0</v>
      </c>
      <c r="CH54" s="22">
        <v>8</v>
      </c>
      <c r="CI54" s="23">
        <v>1</v>
      </c>
      <c r="CJ54" s="23">
        <v>0</v>
      </c>
      <c r="CK54" s="23">
        <v>0</v>
      </c>
      <c r="CL54" s="23">
        <v>0</v>
      </c>
      <c r="CM54" s="23">
        <v>6</v>
      </c>
      <c r="CN54" s="23" t="s">
        <v>203</v>
      </c>
      <c r="CO54" s="18" t="s">
        <v>291</v>
      </c>
      <c r="CP54" s="18" t="s">
        <v>205</v>
      </c>
      <c r="CQ54" s="18">
        <v>180</v>
      </c>
      <c r="CR54" s="18">
        <v>1500</v>
      </c>
      <c r="CS54" s="18" t="s">
        <v>206</v>
      </c>
      <c r="CT54" s="18" t="s">
        <v>207</v>
      </c>
      <c r="CU54" s="17">
        <f>BI54</f>
        <v>2140</v>
      </c>
      <c r="CV54" s="18" t="s">
        <v>208</v>
      </c>
      <c r="CW54" s="17">
        <v>3000</v>
      </c>
      <c r="CX54" s="21">
        <v>1.5</v>
      </c>
      <c r="CY54" s="17">
        <v>4400</v>
      </c>
      <c r="DB54" s="17">
        <v>1</v>
      </c>
      <c r="DC54" s="17">
        <v>1</v>
      </c>
      <c r="DD54" s="17">
        <v>3</v>
      </c>
      <c r="DE54" s="17">
        <v>120</v>
      </c>
      <c r="DF54" s="17">
        <v>28</v>
      </c>
      <c r="DG54" s="21">
        <v>6.9</v>
      </c>
      <c r="DH54" s="18">
        <v>3.6</v>
      </c>
      <c r="DI54" s="18">
        <v>117</v>
      </c>
      <c r="DJ54" s="18">
        <v>34</v>
      </c>
      <c r="DK54" s="17">
        <v>24</v>
      </c>
      <c r="DL54" s="21">
        <v>10</v>
      </c>
      <c r="DM54" s="21">
        <v>33</v>
      </c>
      <c r="DN54" s="18"/>
      <c r="DO54" s="18">
        <v>4.2</v>
      </c>
      <c r="DP54" s="21">
        <v>27</v>
      </c>
      <c r="DQ54" s="18">
        <v>2.4</v>
      </c>
      <c r="DR54" s="18">
        <v>29</v>
      </c>
      <c r="DY54" s="18">
        <v>137</v>
      </c>
      <c r="DZ54" s="18">
        <v>3.2</v>
      </c>
      <c r="EA54" s="18">
        <v>104</v>
      </c>
      <c r="EB54" s="18"/>
      <c r="EC54" s="18"/>
      <c r="ED54" s="17">
        <v>637</v>
      </c>
      <c r="EE54" s="18">
        <v>7.41</v>
      </c>
      <c r="EF54" s="18">
        <v>36</v>
      </c>
      <c r="EG54" s="18">
        <v>111</v>
      </c>
      <c r="EH54" s="18">
        <v>23</v>
      </c>
      <c r="EI54" s="18">
        <v>278</v>
      </c>
      <c r="EJ54" s="18">
        <f t="shared" si="42"/>
        <v>0.39928057553956836</v>
      </c>
      <c r="EL54" s="18"/>
      <c r="EM54" s="18">
        <v>15</v>
      </c>
      <c r="EN54" s="22">
        <v>18</v>
      </c>
      <c r="EO54" s="22">
        <v>29.131623542908642</v>
      </c>
      <c r="EP54" s="18">
        <f t="shared" si="32"/>
        <v>1</v>
      </c>
      <c r="EQ54" s="18">
        <f t="shared" si="33"/>
        <v>1</v>
      </c>
      <c r="ER54" s="18">
        <f t="shared" si="34"/>
        <v>0</v>
      </c>
      <c r="ES54" s="18">
        <f t="shared" si="35"/>
        <v>2</v>
      </c>
      <c r="ET54" s="22">
        <v>1</v>
      </c>
      <c r="EU54" s="22">
        <v>0</v>
      </c>
      <c r="EV54" s="22">
        <v>0</v>
      </c>
      <c r="EW54" s="22">
        <v>0</v>
      </c>
      <c r="EX54" s="22">
        <v>0</v>
      </c>
      <c r="EY54" s="22">
        <f t="shared" si="36"/>
        <v>1</v>
      </c>
      <c r="EZ54" s="22">
        <v>7</v>
      </c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7">
        <v>637</v>
      </c>
      <c r="FT54" s="18"/>
      <c r="FU54" s="18"/>
      <c r="FV54" s="18"/>
      <c r="FW54" s="18"/>
      <c r="FX54" s="18"/>
      <c r="FY54" s="18"/>
      <c r="FZ54" s="18"/>
      <c r="GA54" s="18"/>
      <c r="GB54" s="22">
        <v>7</v>
      </c>
      <c r="GC54" s="22">
        <v>18</v>
      </c>
      <c r="GD54" s="22">
        <v>0</v>
      </c>
      <c r="GE54" s="18"/>
      <c r="GF54" s="18">
        <f t="shared" si="37"/>
        <v>0.70233644859813082</v>
      </c>
      <c r="GG54" s="17">
        <f t="shared" si="43"/>
        <v>1503</v>
      </c>
      <c r="GH54" s="17">
        <f t="shared" si="38"/>
        <v>1</v>
      </c>
      <c r="GI54" s="17">
        <f t="shared" si="23"/>
        <v>11</v>
      </c>
    </row>
    <row r="55" spans="1:193" ht="18" customHeight="1" x14ac:dyDescent="0.45">
      <c r="A55" s="14">
        <v>53</v>
      </c>
      <c r="B55" s="35">
        <v>2210054453</v>
      </c>
      <c r="C55" s="15" t="s">
        <v>391</v>
      </c>
      <c r="D55" s="16">
        <v>1</v>
      </c>
      <c r="E55" s="17">
        <v>1975</v>
      </c>
      <c r="F55" s="17">
        <f t="shared" si="24"/>
        <v>48</v>
      </c>
      <c r="G55" s="18" t="s">
        <v>200</v>
      </c>
      <c r="H55" s="18" t="s">
        <v>234</v>
      </c>
      <c r="I55" s="17">
        <v>1</v>
      </c>
      <c r="J55" s="18">
        <f t="shared" si="25"/>
        <v>8.3520000000000003</v>
      </c>
      <c r="K55" s="17">
        <v>174</v>
      </c>
      <c r="L55" s="17">
        <v>160</v>
      </c>
      <c r="M55" s="18">
        <f t="shared" si="41"/>
        <v>67.968749999999986</v>
      </c>
      <c r="N55" s="17">
        <v>1</v>
      </c>
      <c r="O55" s="17">
        <v>1</v>
      </c>
      <c r="P55" s="17">
        <v>0</v>
      </c>
      <c r="Q55" s="17">
        <v>0</v>
      </c>
      <c r="R55" s="17">
        <v>0</v>
      </c>
      <c r="S55" s="17">
        <v>0</v>
      </c>
      <c r="T55" s="17">
        <v>1</v>
      </c>
      <c r="U55" s="17">
        <v>1</v>
      </c>
      <c r="V55" s="19">
        <v>44889</v>
      </c>
      <c r="W55" s="17">
        <v>24</v>
      </c>
      <c r="X55" s="20">
        <v>10</v>
      </c>
      <c r="Y55" s="17">
        <v>1</v>
      </c>
      <c r="Z55" s="17">
        <v>11</v>
      </c>
      <c r="AA55" s="17">
        <v>85</v>
      </c>
      <c r="AB55" s="17">
        <v>120</v>
      </c>
      <c r="AC55" s="17">
        <v>80</v>
      </c>
      <c r="AD55" s="18">
        <f t="shared" si="26"/>
        <v>93.333333333333329</v>
      </c>
      <c r="AE55" s="18">
        <v>20</v>
      </c>
      <c r="AF55" s="17">
        <v>37</v>
      </c>
      <c r="AG55" s="17">
        <v>1</v>
      </c>
      <c r="AH55" s="17">
        <v>0</v>
      </c>
      <c r="AI55" s="17">
        <v>0</v>
      </c>
      <c r="AJ55" s="17">
        <v>14</v>
      </c>
      <c r="AK55" s="18">
        <v>12</v>
      </c>
      <c r="AL55" s="18">
        <v>4.0999999999999996</v>
      </c>
      <c r="AM55" s="18">
        <v>145</v>
      </c>
      <c r="AN55" s="18">
        <v>38</v>
      </c>
      <c r="AO55" s="18">
        <v>148</v>
      </c>
      <c r="AP55" s="18">
        <v>11</v>
      </c>
      <c r="AQ55" s="18">
        <v>24</v>
      </c>
      <c r="AR55" s="18"/>
      <c r="AS55" s="21">
        <v>24.9</v>
      </c>
      <c r="AT55" s="18">
        <v>4.7E-2</v>
      </c>
      <c r="AX55" s="17">
        <v>80</v>
      </c>
      <c r="AY55" s="18">
        <v>1.5</v>
      </c>
      <c r="BA55" s="5">
        <v>0.32</v>
      </c>
      <c r="BC55" s="21">
        <v>62</v>
      </c>
      <c r="BD55" s="17">
        <v>110</v>
      </c>
      <c r="BE55" s="21">
        <v>3.37</v>
      </c>
      <c r="BF55" s="17">
        <v>98</v>
      </c>
      <c r="BH55" s="17">
        <v>234</v>
      </c>
      <c r="BI55" s="17">
        <v>1135</v>
      </c>
      <c r="BJ55" s="17">
        <v>321</v>
      </c>
      <c r="BK55" s="18">
        <v>11.6</v>
      </c>
      <c r="BL55" s="18">
        <v>0.55000000000000004</v>
      </c>
      <c r="BM55" s="18">
        <v>7.4</v>
      </c>
      <c r="BN55" s="17">
        <v>42</v>
      </c>
      <c r="BO55" s="17">
        <v>73</v>
      </c>
      <c r="BP55" s="21">
        <v>25</v>
      </c>
      <c r="BQ55" s="21">
        <v>333</v>
      </c>
      <c r="BR55" s="18">
        <f>BO55/BQ55</f>
        <v>0.21921921921921922</v>
      </c>
      <c r="BT55" s="18">
        <v>2.2000000000000002</v>
      </c>
      <c r="BU55" s="20">
        <v>10</v>
      </c>
      <c r="BV55" s="22">
        <v>11.334697884966939</v>
      </c>
      <c r="BW55" s="18">
        <f t="shared" si="27"/>
        <v>0</v>
      </c>
      <c r="BX55" s="18">
        <f t="shared" si="28"/>
        <v>0</v>
      </c>
      <c r="BY55" s="18">
        <f t="shared" si="29"/>
        <v>1</v>
      </c>
      <c r="BZ55" s="18">
        <f t="shared" si="30"/>
        <v>1</v>
      </c>
      <c r="CA55" s="22">
        <v>1</v>
      </c>
      <c r="CB55" s="22">
        <v>0</v>
      </c>
      <c r="CC55" s="22">
        <v>0</v>
      </c>
      <c r="CD55" s="22">
        <v>0</v>
      </c>
      <c r="CE55" s="22">
        <v>0</v>
      </c>
      <c r="CF55" s="22">
        <f t="shared" si="31"/>
        <v>1</v>
      </c>
      <c r="CG55" s="22">
        <v>1</v>
      </c>
      <c r="CH55" s="22">
        <v>4</v>
      </c>
      <c r="CI55" s="23">
        <v>0</v>
      </c>
      <c r="CJ55" s="23">
        <v>1</v>
      </c>
      <c r="CK55" s="23">
        <v>0</v>
      </c>
      <c r="CL55" s="23">
        <v>0</v>
      </c>
      <c r="CM55" s="23">
        <v>3</v>
      </c>
      <c r="CN55" s="23" t="s">
        <v>214</v>
      </c>
      <c r="CO55" s="18">
        <v>0.27430555555555552</v>
      </c>
      <c r="CP55" s="18" t="s">
        <v>235</v>
      </c>
      <c r="CQ55" s="18">
        <v>180</v>
      </c>
      <c r="CR55" s="18">
        <v>900</v>
      </c>
      <c r="CS55" s="18" t="s">
        <v>236</v>
      </c>
      <c r="CT55" s="18" t="s">
        <v>207</v>
      </c>
      <c r="CU55" s="17">
        <v>3934</v>
      </c>
      <c r="CV55" s="18" t="s">
        <v>209</v>
      </c>
      <c r="CW55" s="17">
        <v>2900</v>
      </c>
      <c r="CX55" s="21">
        <v>1.5</v>
      </c>
      <c r="CY55" s="17">
        <v>4400</v>
      </c>
      <c r="CZ55" s="17">
        <v>1200</v>
      </c>
      <c r="DA55" s="17">
        <v>700</v>
      </c>
      <c r="DB55" s="17">
        <v>2</v>
      </c>
      <c r="DC55" s="17">
        <v>0</v>
      </c>
      <c r="DD55" s="17">
        <v>5</v>
      </c>
      <c r="DE55" s="17">
        <v>75</v>
      </c>
      <c r="DF55" s="17">
        <v>16</v>
      </c>
      <c r="DG55" s="21">
        <v>9.8000000000000007</v>
      </c>
      <c r="DH55" s="18">
        <v>3.8</v>
      </c>
      <c r="DI55" s="18">
        <v>125</v>
      </c>
      <c r="DJ55" s="18">
        <v>38</v>
      </c>
      <c r="DK55" s="17">
        <v>301</v>
      </c>
      <c r="DL55" s="21">
        <v>11</v>
      </c>
      <c r="DM55" s="21">
        <v>23.9</v>
      </c>
      <c r="DN55" s="18">
        <v>69</v>
      </c>
      <c r="DO55" s="18"/>
      <c r="DP55" s="21">
        <v>31</v>
      </c>
      <c r="DQ55" s="18">
        <v>0.79</v>
      </c>
      <c r="DR55" s="18">
        <v>80</v>
      </c>
      <c r="DY55" s="18">
        <v>126</v>
      </c>
      <c r="DZ55" s="18">
        <v>3.27</v>
      </c>
      <c r="EA55" s="18">
        <v>86</v>
      </c>
      <c r="EB55" s="18"/>
      <c r="EC55" s="18">
        <v>209</v>
      </c>
      <c r="ED55" s="17">
        <v>181</v>
      </c>
      <c r="EE55" s="18">
        <v>7.37</v>
      </c>
      <c r="EF55" s="18">
        <v>35</v>
      </c>
      <c r="EG55" s="18">
        <v>79</v>
      </c>
      <c r="EH55" s="18">
        <v>20</v>
      </c>
      <c r="EI55" s="18">
        <v>380</v>
      </c>
      <c r="EJ55" s="18">
        <f t="shared" si="42"/>
        <v>0.20789473684210527</v>
      </c>
      <c r="EL55" s="18">
        <v>0.6</v>
      </c>
      <c r="EM55" s="18">
        <v>14</v>
      </c>
      <c r="EN55" s="22">
        <v>8</v>
      </c>
      <c r="EO55" s="22">
        <v>8.7145290593121416</v>
      </c>
      <c r="EP55" s="18">
        <f t="shared" si="32"/>
        <v>0</v>
      </c>
      <c r="EQ55" s="18">
        <f t="shared" si="33"/>
        <v>0</v>
      </c>
      <c r="ER55" s="18">
        <f t="shared" si="34"/>
        <v>1</v>
      </c>
      <c r="ES55" s="18">
        <f t="shared" si="35"/>
        <v>1</v>
      </c>
      <c r="ET55" s="22">
        <v>1</v>
      </c>
      <c r="EU55" s="22">
        <v>0</v>
      </c>
      <c r="EV55" s="22">
        <v>0</v>
      </c>
      <c r="EW55" s="22">
        <v>0</v>
      </c>
      <c r="EX55" s="22">
        <v>0</v>
      </c>
      <c r="EY55" s="22">
        <f t="shared" si="36"/>
        <v>1</v>
      </c>
      <c r="EZ55" s="22">
        <v>2</v>
      </c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7">
        <v>181</v>
      </c>
      <c r="FT55" s="18"/>
      <c r="FU55" s="18"/>
      <c r="FV55" s="18"/>
      <c r="FW55" s="18"/>
      <c r="FX55" s="18"/>
      <c r="FY55" s="18"/>
      <c r="FZ55" s="18"/>
      <c r="GA55" s="18"/>
      <c r="GB55" s="22">
        <v>2</v>
      </c>
      <c r="GC55" s="22">
        <v>8</v>
      </c>
      <c r="GD55" s="22">
        <v>0</v>
      </c>
      <c r="GE55" s="18"/>
      <c r="GF55" s="18">
        <f t="shared" si="37"/>
        <v>0.84052863436123348</v>
      </c>
      <c r="GG55" s="17">
        <f t="shared" si="43"/>
        <v>954</v>
      </c>
      <c r="GH55" s="17">
        <f t="shared" si="38"/>
        <v>0</v>
      </c>
      <c r="GI55" s="17">
        <f t="shared" si="23"/>
        <v>2</v>
      </c>
    </row>
    <row r="56" spans="1:193" ht="18" customHeight="1" x14ac:dyDescent="0.45">
      <c r="A56" s="14">
        <v>54</v>
      </c>
      <c r="B56" s="35">
        <v>2210058545</v>
      </c>
      <c r="C56" s="15" t="s">
        <v>355</v>
      </c>
      <c r="D56" s="16">
        <v>0</v>
      </c>
      <c r="E56" s="17">
        <v>1991</v>
      </c>
      <c r="F56" s="17">
        <f t="shared" si="24"/>
        <v>32</v>
      </c>
      <c r="G56" s="18" t="s">
        <v>211</v>
      </c>
      <c r="H56" s="18" t="s">
        <v>316</v>
      </c>
      <c r="I56" s="17">
        <v>0</v>
      </c>
      <c r="J56" s="18">
        <f t="shared" si="25"/>
        <v>2.88</v>
      </c>
      <c r="K56" s="17">
        <v>60</v>
      </c>
      <c r="L56" s="17">
        <v>164</v>
      </c>
      <c r="M56" s="18">
        <f t="shared" si="41"/>
        <v>22.308149910767405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9">
        <v>44878</v>
      </c>
      <c r="W56" s="17">
        <v>24</v>
      </c>
      <c r="X56" s="20">
        <v>13</v>
      </c>
      <c r="Y56" s="17">
        <v>1</v>
      </c>
      <c r="Z56" s="17">
        <v>12</v>
      </c>
      <c r="AA56" s="17">
        <v>150</v>
      </c>
      <c r="AB56" s="17">
        <v>100</v>
      </c>
      <c r="AC56" s="17">
        <v>60</v>
      </c>
      <c r="AD56" s="18">
        <f t="shared" si="26"/>
        <v>73.333333333333329</v>
      </c>
      <c r="AE56" s="18">
        <v>30</v>
      </c>
      <c r="AF56" s="17">
        <v>37</v>
      </c>
      <c r="AG56" s="17">
        <v>1</v>
      </c>
      <c r="AH56" s="17">
        <v>0</v>
      </c>
      <c r="AI56" s="17">
        <v>0</v>
      </c>
      <c r="AJ56" s="17">
        <v>14</v>
      </c>
      <c r="AK56" s="18">
        <v>10</v>
      </c>
      <c r="AL56" s="18">
        <v>6.3</v>
      </c>
      <c r="AM56" s="18">
        <v>195</v>
      </c>
      <c r="AN56" s="18">
        <v>55</v>
      </c>
      <c r="AO56" s="18">
        <v>192</v>
      </c>
      <c r="AP56" s="18">
        <v>24.8</v>
      </c>
      <c r="AQ56" s="18">
        <v>32</v>
      </c>
      <c r="AR56" s="18">
        <v>10.1</v>
      </c>
      <c r="AS56" s="21">
        <v>119</v>
      </c>
      <c r="AT56" s="18"/>
      <c r="AX56" s="17">
        <v>20</v>
      </c>
      <c r="AY56" s="18">
        <v>1.76</v>
      </c>
      <c r="BA56" s="5">
        <v>1.36</v>
      </c>
      <c r="BB56" s="5">
        <v>0.47</v>
      </c>
      <c r="BC56" s="21">
        <v>50</v>
      </c>
      <c r="BD56" s="17">
        <v>141</v>
      </c>
      <c r="BE56" s="21">
        <v>5</v>
      </c>
      <c r="BF56" s="17">
        <v>119</v>
      </c>
      <c r="BG56" s="17">
        <v>661</v>
      </c>
      <c r="BI56" s="17">
        <v>1590</v>
      </c>
      <c r="BJ56" s="17">
        <v>343</v>
      </c>
      <c r="BK56" s="18">
        <v>9.3000000000000007</v>
      </c>
      <c r="BL56" s="18">
        <v>20</v>
      </c>
      <c r="BM56" s="18">
        <v>7.38</v>
      </c>
      <c r="BN56" s="17">
        <v>21</v>
      </c>
      <c r="BO56" s="17">
        <v>80</v>
      </c>
      <c r="BP56" s="21">
        <v>13</v>
      </c>
      <c r="BQ56" s="21">
        <v>400</v>
      </c>
      <c r="BR56" s="18"/>
      <c r="BT56" s="18">
        <v>2.6</v>
      </c>
      <c r="BU56" s="20">
        <v>13</v>
      </c>
      <c r="BV56" s="22">
        <v>16.534282858797354</v>
      </c>
      <c r="BW56" s="18">
        <f t="shared" si="27"/>
        <v>1</v>
      </c>
      <c r="BX56" s="18">
        <f t="shared" si="28"/>
        <v>1</v>
      </c>
      <c r="BY56" s="18">
        <f t="shared" si="29"/>
        <v>0</v>
      </c>
      <c r="BZ56" s="18">
        <f t="shared" si="30"/>
        <v>2</v>
      </c>
      <c r="CA56" s="22">
        <v>0</v>
      </c>
      <c r="CB56" s="22">
        <v>0</v>
      </c>
      <c r="CC56" s="22">
        <v>1</v>
      </c>
      <c r="CD56" s="22">
        <v>0</v>
      </c>
      <c r="CE56" s="22">
        <v>0</v>
      </c>
      <c r="CF56" s="22">
        <f t="shared" si="31"/>
        <v>1</v>
      </c>
      <c r="CG56" s="22">
        <v>1</v>
      </c>
      <c r="CH56" s="22">
        <v>3</v>
      </c>
      <c r="CI56" s="23">
        <v>0</v>
      </c>
      <c r="CJ56" s="23">
        <v>0</v>
      </c>
      <c r="CK56" s="23">
        <v>0</v>
      </c>
      <c r="CL56" s="23">
        <v>0</v>
      </c>
      <c r="CM56" s="23">
        <v>4</v>
      </c>
      <c r="CN56" s="23" t="s">
        <v>203</v>
      </c>
      <c r="CO56" s="18" t="s">
        <v>332</v>
      </c>
      <c r="CP56" s="18" t="s">
        <v>499</v>
      </c>
      <c r="CQ56" s="18">
        <v>150</v>
      </c>
      <c r="CR56" s="18">
        <v>1500</v>
      </c>
      <c r="CS56" s="18" t="s">
        <v>225</v>
      </c>
      <c r="CT56" s="18" t="s">
        <v>207</v>
      </c>
      <c r="CU56" s="17">
        <f>BI56</f>
        <v>1590</v>
      </c>
      <c r="CV56" s="18" t="s">
        <v>208</v>
      </c>
      <c r="CW56" s="17">
        <v>2000</v>
      </c>
      <c r="CX56" s="21">
        <v>1.5</v>
      </c>
      <c r="CY56" s="17">
        <v>3500</v>
      </c>
      <c r="CZ56" s="17">
        <v>500</v>
      </c>
      <c r="DA56" s="17">
        <v>200</v>
      </c>
      <c r="DB56" s="17">
        <v>1</v>
      </c>
      <c r="DC56" s="17">
        <v>1</v>
      </c>
      <c r="DD56" s="17">
        <v>3</v>
      </c>
      <c r="DE56" s="17">
        <v>140</v>
      </c>
      <c r="DF56" s="17">
        <v>26</v>
      </c>
      <c r="DG56" s="21">
        <v>9</v>
      </c>
      <c r="DH56" s="18">
        <v>4.7</v>
      </c>
      <c r="DI56" s="18">
        <v>147</v>
      </c>
      <c r="DJ56" s="18">
        <v>44</v>
      </c>
      <c r="DK56" s="17">
        <v>137</v>
      </c>
      <c r="DL56" s="21">
        <v>13</v>
      </c>
      <c r="DM56" s="21">
        <v>32</v>
      </c>
      <c r="DN56" s="18"/>
      <c r="DO56" s="18">
        <v>3.68</v>
      </c>
      <c r="DP56" s="21">
        <v>27</v>
      </c>
      <c r="DQ56" s="18">
        <v>2.15</v>
      </c>
      <c r="DR56" s="18">
        <v>39</v>
      </c>
      <c r="DY56" s="18">
        <v>146</v>
      </c>
      <c r="DZ56" s="18">
        <v>3.1</v>
      </c>
      <c r="EA56" s="18">
        <v>110</v>
      </c>
      <c r="EB56" s="18">
        <v>160</v>
      </c>
      <c r="EC56" s="18"/>
      <c r="ED56" s="17">
        <v>380</v>
      </c>
      <c r="EE56" s="18">
        <v>7.42</v>
      </c>
      <c r="EF56" s="18">
        <v>36</v>
      </c>
      <c r="EG56" s="18">
        <v>66</v>
      </c>
      <c r="EH56" s="18">
        <v>24</v>
      </c>
      <c r="EI56" s="18">
        <f>EG56/0.21</f>
        <v>314.28571428571428</v>
      </c>
      <c r="EJ56" s="18">
        <f t="shared" si="42"/>
        <v>0.21</v>
      </c>
      <c r="EL56" s="18"/>
      <c r="EM56" s="18">
        <v>15</v>
      </c>
      <c r="EN56" s="22">
        <v>12</v>
      </c>
      <c r="EO56" s="22">
        <v>14.616523039738205</v>
      </c>
      <c r="EP56" s="18">
        <f t="shared" si="32"/>
        <v>1</v>
      </c>
      <c r="EQ56" s="18">
        <f t="shared" si="33"/>
        <v>1</v>
      </c>
      <c r="ER56" s="18">
        <f t="shared" si="34"/>
        <v>0</v>
      </c>
      <c r="ES56" s="18">
        <f t="shared" si="35"/>
        <v>2</v>
      </c>
      <c r="ET56" s="22">
        <v>1</v>
      </c>
      <c r="EU56" s="22">
        <v>0</v>
      </c>
      <c r="EV56" s="22">
        <v>0</v>
      </c>
      <c r="EW56" s="22">
        <v>0</v>
      </c>
      <c r="EX56" s="22">
        <v>0</v>
      </c>
      <c r="EY56" s="22">
        <f t="shared" si="36"/>
        <v>1</v>
      </c>
      <c r="EZ56" s="22">
        <v>2</v>
      </c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7">
        <v>380</v>
      </c>
      <c r="FT56" s="18"/>
      <c r="FU56" s="18"/>
      <c r="FV56" s="18"/>
      <c r="FW56" s="18"/>
      <c r="FX56" s="18"/>
      <c r="FY56" s="18"/>
      <c r="FZ56" s="18"/>
      <c r="GA56" s="18"/>
      <c r="GB56" s="22">
        <v>2</v>
      </c>
      <c r="GC56" s="22">
        <v>12</v>
      </c>
      <c r="GD56" s="22">
        <v>0</v>
      </c>
      <c r="GE56" s="18"/>
      <c r="GF56" s="18">
        <f t="shared" si="37"/>
        <v>0.76100628930817615</v>
      </c>
      <c r="GG56" s="17">
        <f t="shared" si="43"/>
        <v>1210</v>
      </c>
      <c r="GH56" s="17">
        <f t="shared" si="38"/>
        <v>0</v>
      </c>
      <c r="GI56" s="17">
        <f t="shared" si="23"/>
        <v>1</v>
      </c>
    </row>
    <row r="57" spans="1:193" ht="18" customHeight="1" x14ac:dyDescent="0.45">
      <c r="A57" s="14">
        <v>55</v>
      </c>
      <c r="B57" s="35">
        <v>2210059332</v>
      </c>
      <c r="C57" s="15" t="s">
        <v>243</v>
      </c>
      <c r="D57" s="16">
        <v>0</v>
      </c>
      <c r="E57" s="17">
        <v>1976</v>
      </c>
      <c r="F57" s="17">
        <f t="shared" si="24"/>
        <v>47</v>
      </c>
      <c r="G57" s="18" t="s">
        <v>237</v>
      </c>
      <c r="H57" s="18" t="s">
        <v>234</v>
      </c>
      <c r="I57" s="17">
        <v>1</v>
      </c>
      <c r="J57" s="18">
        <f t="shared" si="25"/>
        <v>2.7839999999999998</v>
      </c>
      <c r="K57" s="17">
        <v>58</v>
      </c>
      <c r="L57" s="17">
        <v>157</v>
      </c>
      <c r="M57" s="18">
        <f t="shared" si="41"/>
        <v>23.530366343462209</v>
      </c>
      <c r="N57" s="17">
        <v>1</v>
      </c>
      <c r="O57" s="17">
        <v>1</v>
      </c>
      <c r="P57" s="17">
        <v>0</v>
      </c>
      <c r="Q57" s="17">
        <v>0</v>
      </c>
      <c r="R57" s="17">
        <v>1</v>
      </c>
      <c r="S57" s="17">
        <v>0</v>
      </c>
      <c r="T57" s="17">
        <v>0</v>
      </c>
      <c r="U57" s="17">
        <v>0</v>
      </c>
      <c r="V57" s="19" t="s">
        <v>429</v>
      </c>
      <c r="W57" s="17">
        <v>12</v>
      </c>
      <c r="X57" s="20">
        <v>9</v>
      </c>
      <c r="Y57" s="17">
        <v>1</v>
      </c>
      <c r="Z57" s="17">
        <v>10</v>
      </c>
      <c r="AA57" s="17">
        <v>88</v>
      </c>
      <c r="AB57" s="17">
        <v>120</v>
      </c>
      <c r="AC57" s="17">
        <v>70</v>
      </c>
      <c r="AD57" s="18">
        <f t="shared" si="26"/>
        <v>86.666666666666657</v>
      </c>
      <c r="AE57" s="18">
        <v>18</v>
      </c>
      <c r="AF57" s="17">
        <v>37</v>
      </c>
      <c r="AG57" s="17">
        <v>1</v>
      </c>
      <c r="AH57" s="17">
        <v>0</v>
      </c>
      <c r="AI57" s="17">
        <v>0</v>
      </c>
      <c r="AJ57" s="17">
        <v>15</v>
      </c>
      <c r="AK57" s="18">
        <v>15.2</v>
      </c>
      <c r="AL57" s="18">
        <v>4.5999999999999996</v>
      </c>
      <c r="AM57" s="18">
        <v>151</v>
      </c>
      <c r="AN57" s="18">
        <v>42</v>
      </c>
      <c r="AO57" s="18">
        <v>195</v>
      </c>
      <c r="AP57" s="18">
        <v>13</v>
      </c>
      <c r="AQ57" s="18">
        <v>37</v>
      </c>
      <c r="AR57" s="18"/>
      <c r="AT57" s="18"/>
      <c r="AX57" s="17">
        <v>17</v>
      </c>
      <c r="AY57" s="18">
        <v>0.55000000000000004</v>
      </c>
      <c r="BC57" s="21">
        <v>119</v>
      </c>
      <c r="BD57" s="17">
        <v>131</v>
      </c>
      <c r="BE57" s="21">
        <v>3.41</v>
      </c>
      <c r="BF57" s="17">
        <v>99</v>
      </c>
      <c r="BH57" s="17">
        <v>747</v>
      </c>
      <c r="BI57" s="17">
        <v>2222</v>
      </c>
      <c r="BJ57" s="17">
        <v>140</v>
      </c>
      <c r="BK57" s="18"/>
      <c r="BL57" s="18">
        <v>2.44</v>
      </c>
      <c r="BM57" s="18">
        <v>7.4</v>
      </c>
      <c r="BN57" s="17">
        <v>25.8</v>
      </c>
      <c r="BO57" s="17">
        <v>76</v>
      </c>
      <c r="BP57" s="21">
        <v>15.7</v>
      </c>
      <c r="BQ57" s="21">
        <v>362</v>
      </c>
      <c r="BR57" s="18">
        <v>0.21</v>
      </c>
      <c r="BT57" s="18">
        <v>1.21</v>
      </c>
      <c r="BU57" s="20">
        <v>9</v>
      </c>
      <c r="BV57" s="22">
        <v>9.9481411429015392</v>
      </c>
      <c r="BW57" s="18">
        <f t="shared" si="27"/>
        <v>0</v>
      </c>
      <c r="BX57" s="18">
        <f t="shared" si="28"/>
        <v>0</v>
      </c>
      <c r="BY57" s="18">
        <f t="shared" si="29"/>
        <v>0</v>
      </c>
      <c r="BZ57" s="18">
        <f t="shared" si="30"/>
        <v>0</v>
      </c>
      <c r="CA57" s="22">
        <v>0</v>
      </c>
      <c r="CB57" s="22">
        <v>0</v>
      </c>
      <c r="CC57" s="22">
        <v>0</v>
      </c>
      <c r="CD57" s="22">
        <v>0</v>
      </c>
      <c r="CE57" s="22">
        <v>0</v>
      </c>
      <c r="CF57" s="22">
        <f t="shared" si="31"/>
        <v>0</v>
      </c>
      <c r="CG57" s="22">
        <v>0</v>
      </c>
      <c r="CH57" s="22">
        <v>1</v>
      </c>
      <c r="CI57" s="23">
        <v>0</v>
      </c>
      <c r="CJ57" s="23">
        <v>0</v>
      </c>
      <c r="CK57" s="23">
        <v>1</v>
      </c>
      <c r="CL57" s="23">
        <v>0</v>
      </c>
      <c r="CM57" s="23">
        <v>4</v>
      </c>
      <c r="CN57" s="23" t="s">
        <v>219</v>
      </c>
      <c r="CO57" s="18" t="s">
        <v>430</v>
      </c>
      <c r="CP57" s="18" t="s">
        <v>235</v>
      </c>
      <c r="CQ57" s="18">
        <v>180</v>
      </c>
      <c r="CR57" s="18">
        <v>800</v>
      </c>
      <c r="CS57" s="18" t="s">
        <v>236</v>
      </c>
      <c r="CT57" s="18" t="s">
        <v>207</v>
      </c>
      <c r="CU57" s="17">
        <f>BI57</f>
        <v>2222</v>
      </c>
      <c r="CV57" s="18" t="s">
        <v>209</v>
      </c>
      <c r="CW57" s="17">
        <v>2200</v>
      </c>
      <c r="CX57" s="21">
        <v>1</v>
      </c>
      <c r="CY57" s="17">
        <v>2200</v>
      </c>
      <c r="CZ57" s="17">
        <v>0</v>
      </c>
      <c r="DA57" s="17">
        <v>1200</v>
      </c>
      <c r="DB57" s="17">
        <v>1</v>
      </c>
      <c r="DC57" s="17">
        <v>1</v>
      </c>
      <c r="DD57" s="17">
        <v>3</v>
      </c>
      <c r="DE57" s="17">
        <v>68</v>
      </c>
      <c r="DF57" s="17">
        <v>14</v>
      </c>
      <c r="DG57" s="21">
        <v>9.23</v>
      </c>
      <c r="DH57" s="18">
        <v>3.8</v>
      </c>
      <c r="DI57" s="18">
        <v>117</v>
      </c>
      <c r="DJ57" s="18">
        <v>34</v>
      </c>
      <c r="DK57" s="17">
        <v>128</v>
      </c>
      <c r="DL57" s="21">
        <v>15</v>
      </c>
      <c r="DM57" s="21">
        <v>43.7</v>
      </c>
      <c r="DN57" s="18"/>
      <c r="DO57" s="18"/>
      <c r="DP57" s="21">
        <v>16</v>
      </c>
      <c r="DQ57" s="18">
        <v>0.45</v>
      </c>
      <c r="DR57" s="18">
        <v>149</v>
      </c>
      <c r="DY57" s="18">
        <v>134</v>
      </c>
      <c r="DZ57" s="18">
        <v>3.7</v>
      </c>
      <c r="EA57" s="18">
        <v>99</v>
      </c>
      <c r="EB57" s="18"/>
      <c r="EC57" s="18">
        <v>372</v>
      </c>
      <c r="ED57" s="17">
        <v>598</v>
      </c>
      <c r="EE57" s="18">
        <v>7.42</v>
      </c>
      <c r="EF57" s="18">
        <v>27.4</v>
      </c>
      <c r="EG57" s="18">
        <v>75.7</v>
      </c>
      <c r="EH57" s="18">
        <v>20</v>
      </c>
      <c r="EI57" s="18">
        <v>360.47619047619048</v>
      </c>
      <c r="EJ57" s="18">
        <v>0.21</v>
      </c>
      <c r="EL57" s="18">
        <v>1.18</v>
      </c>
      <c r="EM57" s="18">
        <v>14</v>
      </c>
      <c r="EN57" s="22">
        <v>7</v>
      </c>
      <c r="EO57" s="22">
        <v>7.620944279833977</v>
      </c>
      <c r="EP57" s="18">
        <f t="shared" si="32"/>
        <v>0</v>
      </c>
      <c r="EQ57" s="18">
        <f t="shared" si="33"/>
        <v>0</v>
      </c>
      <c r="ER57" s="18">
        <f t="shared" si="34"/>
        <v>0</v>
      </c>
      <c r="ES57" s="18">
        <f t="shared" si="35"/>
        <v>0</v>
      </c>
      <c r="ET57" s="22">
        <v>0</v>
      </c>
      <c r="EU57" s="22">
        <v>0</v>
      </c>
      <c r="EV57" s="22">
        <v>0</v>
      </c>
      <c r="EW57" s="22">
        <v>0</v>
      </c>
      <c r="EX57" s="22">
        <v>0</v>
      </c>
      <c r="EY57" s="22">
        <f t="shared" si="36"/>
        <v>0</v>
      </c>
      <c r="EZ57" s="22">
        <v>1</v>
      </c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7">
        <v>598</v>
      </c>
      <c r="FT57" s="18"/>
      <c r="FU57" s="18"/>
      <c r="FV57" s="18"/>
      <c r="FW57" s="18"/>
      <c r="FX57" s="18"/>
      <c r="FY57" s="18"/>
      <c r="FZ57" s="18"/>
      <c r="GA57" s="18"/>
      <c r="GB57" s="22">
        <v>1</v>
      </c>
      <c r="GC57" s="22">
        <v>7</v>
      </c>
      <c r="GD57" s="22">
        <v>0</v>
      </c>
      <c r="GE57" s="18"/>
      <c r="GF57" s="18">
        <f t="shared" si="37"/>
        <v>0.73087308730873091</v>
      </c>
      <c r="GG57" s="17">
        <f t="shared" si="43"/>
        <v>1624</v>
      </c>
      <c r="GH57" s="17">
        <f t="shared" si="38"/>
        <v>0</v>
      </c>
      <c r="GI57" s="17">
        <f t="shared" si="23"/>
        <v>2</v>
      </c>
    </row>
    <row r="58" spans="1:193" ht="18" customHeight="1" x14ac:dyDescent="0.45">
      <c r="A58" s="14">
        <v>56</v>
      </c>
      <c r="B58" s="35">
        <v>2200055561</v>
      </c>
      <c r="C58" s="15" t="s">
        <v>230</v>
      </c>
      <c r="D58" s="16">
        <v>0</v>
      </c>
      <c r="E58" s="17">
        <v>1988</v>
      </c>
      <c r="F58" s="17">
        <f t="shared" si="24"/>
        <v>35</v>
      </c>
      <c r="G58" s="18" t="s">
        <v>200</v>
      </c>
      <c r="H58" s="18" t="s">
        <v>268</v>
      </c>
      <c r="I58" s="17">
        <v>0</v>
      </c>
      <c r="J58" s="18">
        <f t="shared" si="25"/>
        <v>2.88</v>
      </c>
      <c r="K58" s="17">
        <v>60</v>
      </c>
      <c r="L58" s="17">
        <v>166</v>
      </c>
      <c r="M58" s="18">
        <f t="shared" si="41"/>
        <v>21.773842357381334</v>
      </c>
      <c r="N58" s="17">
        <v>0</v>
      </c>
      <c r="O58" s="17">
        <v>0</v>
      </c>
      <c r="P58" s="17">
        <v>1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9" t="s">
        <v>269</v>
      </c>
      <c r="W58" s="17">
        <v>48</v>
      </c>
      <c r="X58" s="20">
        <v>11</v>
      </c>
      <c r="Y58" s="17">
        <v>1</v>
      </c>
      <c r="Z58" s="17">
        <v>6</v>
      </c>
      <c r="AA58" s="17">
        <v>127</v>
      </c>
      <c r="AB58" s="17">
        <v>120</v>
      </c>
      <c r="AC58" s="17">
        <v>70</v>
      </c>
      <c r="AD58" s="18">
        <f t="shared" si="26"/>
        <v>86.666666666666657</v>
      </c>
      <c r="AE58" s="18">
        <v>24</v>
      </c>
      <c r="AF58" s="17">
        <v>37</v>
      </c>
      <c r="AG58" s="17">
        <v>1</v>
      </c>
      <c r="AH58" s="17">
        <v>1</v>
      </c>
      <c r="AI58" s="17">
        <v>0</v>
      </c>
      <c r="AJ58" s="17">
        <v>15</v>
      </c>
      <c r="AK58" s="18">
        <v>14</v>
      </c>
      <c r="AL58" s="18">
        <v>5.8</v>
      </c>
      <c r="AM58" s="18">
        <v>210</v>
      </c>
      <c r="AN58" s="18">
        <v>53</v>
      </c>
      <c r="AO58" s="18">
        <v>207</v>
      </c>
      <c r="AP58" s="18">
        <v>15</v>
      </c>
      <c r="AQ58" s="18">
        <v>39</v>
      </c>
      <c r="AR58" s="18">
        <v>5</v>
      </c>
      <c r="AT58" s="18"/>
      <c r="AX58" s="17">
        <v>9</v>
      </c>
      <c r="AY58" s="18">
        <v>0.8</v>
      </c>
      <c r="BA58" s="5">
        <v>1.37</v>
      </c>
      <c r="BB58" s="5">
        <v>0.46</v>
      </c>
      <c r="BC58" s="21">
        <v>117</v>
      </c>
      <c r="BD58" s="17">
        <v>115</v>
      </c>
      <c r="BE58" s="21">
        <v>4.5</v>
      </c>
      <c r="BF58" s="17">
        <v>86</v>
      </c>
      <c r="BG58" s="17">
        <v>90</v>
      </c>
      <c r="BH58" s="17">
        <v>565</v>
      </c>
      <c r="BI58" s="17">
        <v>7580</v>
      </c>
      <c r="BJ58" s="17">
        <v>120</v>
      </c>
      <c r="BK58" s="18"/>
      <c r="BL58" s="18"/>
      <c r="BM58" s="18">
        <v>7.4</v>
      </c>
      <c r="BN58" s="17">
        <v>27</v>
      </c>
      <c r="BO58" s="17">
        <v>65</v>
      </c>
      <c r="BP58" s="21">
        <v>17</v>
      </c>
      <c r="BQ58" s="21">
        <v>400</v>
      </c>
      <c r="BR58" s="18"/>
      <c r="BS58" s="10">
        <v>2.2799999999999998</v>
      </c>
      <c r="BU58" s="20">
        <v>11</v>
      </c>
      <c r="BV58" s="22">
        <v>12.886854903027482</v>
      </c>
      <c r="BW58" s="18">
        <f t="shared" si="27"/>
        <v>1</v>
      </c>
      <c r="BX58" s="18">
        <f t="shared" si="28"/>
        <v>1</v>
      </c>
      <c r="BY58" s="18">
        <f t="shared" si="29"/>
        <v>0</v>
      </c>
      <c r="BZ58" s="18">
        <f t="shared" si="30"/>
        <v>2</v>
      </c>
      <c r="CA58" s="22">
        <v>0</v>
      </c>
      <c r="CB58" s="22">
        <v>0</v>
      </c>
      <c r="CC58" s="22">
        <v>1</v>
      </c>
      <c r="CD58" s="22">
        <v>0</v>
      </c>
      <c r="CE58" s="22">
        <v>1</v>
      </c>
      <c r="CF58" s="22">
        <f t="shared" si="31"/>
        <v>2</v>
      </c>
      <c r="CG58" s="22">
        <v>0</v>
      </c>
      <c r="CH58" s="22">
        <v>1</v>
      </c>
      <c r="CI58" s="23">
        <v>0</v>
      </c>
      <c r="CJ58" s="23">
        <v>0</v>
      </c>
      <c r="CK58" s="23">
        <v>1</v>
      </c>
      <c r="CL58" s="23">
        <v>0</v>
      </c>
      <c r="CM58" s="23">
        <v>6</v>
      </c>
      <c r="CN58" s="23" t="s">
        <v>203</v>
      </c>
      <c r="CO58" s="18" t="s">
        <v>270</v>
      </c>
      <c r="CP58" s="18" t="s">
        <v>235</v>
      </c>
      <c r="CQ58" s="18">
        <v>200</v>
      </c>
      <c r="CR58" s="18">
        <v>150</v>
      </c>
      <c r="CS58" s="18" t="s">
        <v>236</v>
      </c>
      <c r="CT58" s="18" t="s">
        <v>207</v>
      </c>
      <c r="CU58" s="17">
        <f>BI58</f>
        <v>7580</v>
      </c>
      <c r="CV58" s="18" t="s">
        <v>209</v>
      </c>
      <c r="CW58" s="17">
        <v>2000</v>
      </c>
      <c r="CX58" s="21">
        <v>2.5</v>
      </c>
      <c r="CY58" s="17">
        <v>5000</v>
      </c>
      <c r="DB58" s="17">
        <v>1</v>
      </c>
      <c r="DC58" s="17">
        <v>2</v>
      </c>
      <c r="DD58" s="17">
        <v>3</v>
      </c>
      <c r="DE58" s="17">
        <v>107</v>
      </c>
      <c r="DF58" s="17">
        <v>20</v>
      </c>
      <c r="DG58" s="21">
        <v>6.8</v>
      </c>
      <c r="DH58" s="18">
        <v>4.0999999999999996</v>
      </c>
      <c r="DI58" s="18">
        <v>126</v>
      </c>
      <c r="DJ58" s="18">
        <v>38</v>
      </c>
      <c r="DK58" s="17">
        <v>116</v>
      </c>
      <c r="DL58" s="21">
        <v>17</v>
      </c>
      <c r="DM58" s="21">
        <v>46</v>
      </c>
      <c r="DN58" s="18"/>
      <c r="DO58" s="18">
        <v>4.5999999999999996</v>
      </c>
      <c r="DP58" s="21">
        <v>9</v>
      </c>
      <c r="DQ58" s="18">
        <v>0.6</v>
      </c>
      <c r="DR58" s="18">
        <v>132</v>
      </c>
      <c r="DY58" s="18">
        <v>137</v>
      </c>
      <c r="DZ58" s="18">
        <v>3.6</v>
      </c>
      <c r="EA58" s="18">
        <v>102</v>
      </c>
      <c r="EB58" s="18">
        <v>54</v>
      </c>
      <c r="EC58" s="18">
        <v>208</v>
      </c>
      <c r="ED58" s="17">
        <v>385</v>
      </c>
      <c r="EE58" s="18">
        <v>7.37</v>
      </c>
      <c r="EF58" s="18">
        <v>41</v>
      </c>
      <c r="EG58" s="18">
        <v>94</v>
      </c>
      <c r="EH58" s="18">
        <v>24</v>
      </c>
      <c r="EI58" s="18">
        <f>EG58/0.21</f>
        <v>447.61904761904765</v>
      </c>
      <c r="EJ58" s="18">
        <f>EG58/EI58</f>
        <v>0.21</v>
      </c>
      <c r="EL58" s="18"/>
      <c r="EM58" s="18">
        <v>14</v>
      </c>
      <c r="EN58" s="22">
        <v>3</v>
      </c>
      <c r="EO58" s="22">
        <v>4.3981843668079526</v>
      </c>
      <c r="EP58" s="18">
        <f t="shared" si="32"/>
        <v>1</v>
      </c>
      <c r="EQ58" s="18">
        <f t="shared" si="33"/>
        <v>0</v>
      </c>
      <c r="ER58" s="18">
        <f t="shared" si="34"/>
        <v>0</v>
      </c>
      <c r="ES58" s="18">
        <f t="shared" si="35"/>
        <v>1</v>
      </c>
      <c r="ET58" s="22">
        <v>0</v>
      </c>
      <c r="EU58" s="22">
        <v>0</v>
      </c>
      <c r="EV58" s="22">
        <v>0</v>
      </c>
      <c r="EW58" s="22">
        <v>0</v>
      </c>
      <c r="EX58" s="22">
        <v>1</v>
      </c>
      <c r="EY58" s="22">
        <f t="shared" si="36"/>
        <v>1</v>
      </c>
      <c r="EZ58" s="22">
        <v>0</v>
      </c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7">
        <v>385</v>
      </c>
      <c r="FT58" s="18"/>
      <c r="FU58" s="18"/>
      <c r="FV58" s="18"/>
      <c r="FW58" s="18"/>
      <c r="FX58" s="18"/>
      <c r="FY58" s="18"/>
      <c r="FZ58" s="18"/>
      <c r="GA58" s="18"/>
      <c r="GB58" s="22">
        <v>0</v>
      </c>
      <c r="GC58" s="22">
        <v>3</v>
      </c>
      <c r="GD58" s="22">
        <v>0</v>
      </c>
      <c r="GE58" s="18"/>
      <c r="GF58" s="18">
        <f t="shared" si="37"/>
        <v>0.94920844327176779</v>
      </c>
      <c r="GG58" s="17">
        <f t="shared" si="43"/>
        <v>7195</v>
      </c>
      <c r="GH58" s="17">
        <f t="shared" si="38"/>
        <v>1</v>
      </c>
      <c r="GI58" s="17">
        <f t="shared" si="23"/>
        <v>8</v>
      </c>
    </row>
    <row r="59" spans="1:193" ht="18" customHeight="1" x14ac:dyDescent="0.45">
      <c r="A59" s="14">
        <v>57</v>
      </c>
      <c r="B59" s="35">
        <v>2220037014</v>
      </c>
      <c r="C59" s="15" t="s">
        <v>325</v>
      </c>
      <c r="D59" s="16">
        <v>1</v>
      </c>
      <c r="E59" s="17">
        <v>2000</v>
      </c>
      <c r="F59" s="17">
        <f t="shared" si="24"/>
        <v>23</v>
      </c>
      <c r="G59" s="18" t="s">
        <v>237</v>
      </c>
      <c r="H59" s="18" t="s">
        <v>234</v>
      </c>
      <c r="I59" s="17">
        <v>0</v>
      </c>
      <c r="J59" s="18">
        <f t="shared" si="25"/>
        <v>4.7519999999999998</v>
      </c>
      <c r="K59" s="17">
        <v>99</v>
      </c>
      <c r="L59" s="17">
        <v>178</v>
      </c>
      <c r="M59" s="18">
        <f t="shared" si="41"/>
        <v>31.246054791061734</v>
      </c>
      <c r="N59" s="17">
        <v>0</v>
      </c>
      <c r="O59" s="17">
        <v>1</v>
      </c>
      <c r="P59" s="17">
        <v>1</v>
      </c>
      <c r="Q59" s="17">
        <v>0</v>
      </c>
      <c r="R59" s="17">
        <v>1</v>
      </c>
      <c r="S59" s="17">
        <v>0</v>
      </c>
      <c r="T59" s="17">
        <v>0</v>
      </c>
      <c r="U59" s="17">
        <v>0</v>
      </c>
      <c r="V59" s="19">
        <v>44859</v>
      </c>
      <c r="W59" s="17">
        <v>24</v>
      </c>
      <c r="X59" s="20">
        <v>11</v>
      </c>
      <c r="Y59" s="17">
        <v>1</v>
      </c>
      <c r="Z59" s="17">
        <v>9</v>
      </c>
      <c r="AA59" s="17">
        <v>120</v>
      </c>
      <c r="AB59" s="17">
        <v>130</v>
      </c>
      <c r="AC59" s="17">
        <v>80</v>
      </c>
      <c r="AD59" s="18">
        <f t="shared" si="26"/>
        <v>96.666666666666657</v>
      </c>
      <c r="AE59" s="18">
        <v>18</v>
      </c>
      <c r="AF59" s="17">
        <v>37</v>
      </c>
      <c r="AG59" s="17">
        <v>1</v>
      </c>
      <c r="AH59" s="17">
        <v>1</v>
      </c>
      <c r="AI59" s="17">
        <v>0</v>
      </c>
      <c r="AJ59" s="17">
        <v>14</v>
      </c>
      <c r="AK59" s="18">
        <v>15.82</v>
      </c>
      <c r="AL59" s="18">
        <v>4.8499999999999996</v>
      </c>
      <c r="AM59" s="18">
        <v>169</v>
      </c>
      <c r="AN59" s="18">
        <v>43</v>
      </c>
      <c r="AO59" s="18">
        <v>280</v>
      </c>
      <c r="AP59" s="18">
        <v>11.4</v>
      </c>
      <c r="AQ59" s="18">
        <v>27.6</v>
      </c>
      <c r="AR59" s="18"/>
      <c r="AS59" s="21">
        <v>24.5</v>
      </c>
      <c r="AT59" s="18"/>
      <c r="AX59" s="17">
        <v>26.36</v>
      </c>
      <c r="AY59" s="18">
        <v>1.55</v>
      </c>
      <c r="BC59" s="21">
        <v>56</v>
      </c>
      <c r="BD59" s="17">
        <v>127</v>
      </c>
      <c r="BE59" s="21">
        <v>3.4</v>
      </c>
      <c r="BF59" s="17">
        <v>93</v>
      </c>
      <c r="BH59" s="17">
        <v>1668.76</v>
      </c>
      <c r="BI59" s="17">
        <v>1430</v>
      </c>
      <c r="BJ59" s="17">
        <v>120</v>
      </c>
      <c r="BK59" s="18"/>
      <c r="BL59" s="18"/>
      <c r="BM59" s="18">
        <v>7.43</v>
      </c>
      <c r="BN59" s="17">
        <v>32.299999999999997</v>
      </c>
      <c r="BO59" s="17">
        <v>71.3</v>
      </c>
      <c r="BP59" s="21">
        <v>21.1</v>
      </c>
      <c r="BQ59" s="21">
        <v>339.5</v>
      </c>
      <c r="BR59" s="18">
        <f>BO59/BQ59</f>
        <v>0.21001472754050074</v>
      </c>
      <c r="BT59" s="18">
        <v>2.2599999999999998</v>
      </c>
      <c r="BU59" s="20">
        <v>11</v>
      </c>
      <c r="BV59" s="22">
        <v>12.886854903027482</v>
      </c>
      <c r="BW59" s="18">
        <f t="shared" si="27"/>
        <v>1</v>
      </c>
      <c r="BX59" s="18">
        <f t="shared" si="28"/>
        <v>0</v>
      </c>
      <c r="BY59" s="18">
        <f t="shared" si="29"/>
        <v>0</v>
      </c>
      <c r="BZ59" s="18">
        <f t="shared" si="30"/>
        <v>1</v>
      </c>
      <c r="CA59" s="22">
        <v>1</v>
      </c>
      <c r="CB59" s="22">
        <v>0</v>
      </c>
      <c r="CC59" s="22">
        <v>1</v>
      </c>
      <c r="CD59" s="22">
        <v>0</v>
      </c>
      <c r="CE59" s="22">
        <v>0</v>
      </c>
      <c r="CF59" s="22">
        <f t="shared" si="31"/>
        <v>2</v>
      </c>
      <c r="CG59" s="22">
        <v>0</v>
      </c>
      <c r="CH59" s="22">
        <v>3</v>
      </c>
      <c r="CI59" s="23">
        <v>0</v>
      </c>
      <c r="CJ59" s="23">
        <v>1</v>
      </c>
      <c r="CK59" s="23">
        <v>0</v>
      </c>
      <c r="CL59" s="23">
        <v>0</v>
      </c>
      <c r="CM59" s="23">
        <v>4</v>
      </c>
      <c r="CN59" s="23" t="s">
        <v>219</v>
      </c>
      <c r="CO59" s="18"/>
      <c r="CP59" s="18" t="s">
        <v>235</v>
      </c>
      <c r="CQ59" s="18">
        <v>150</v>
      </c>
      <c r="CR59" s="18">
        <v>1000</v>
      </c>
      <c r="CS59" s="18" t="s">
        <v>236</v>
      </c>
      <c r="CT59" s="18" t="s">
        <v>207</v>
      </c>
      <c r="CU59" s="17">
        <f>BI59</f>
        <v>1430</v>
      </c>
      <c r="CV59" s="18" t="s">
        <v>209</v>
      </c>
      <c r="CW59" s="17">
        <v>2300</v>
      </c>
      <c r="CX59" s="21">
        <v>1.5</v>
      </c>
      <c r="CY59" s="17">
        <v>3500</v>
      </c>
      <c r="CZ59" s="17">
        <v>1500</v>
      </c>
      <c r="DA59" s="17">
        <v>500</v>
      </c>
      <c r="DB59" s="17">
        <v>1</v>
      </c>
      <c r="DC59" s="17">
        <v>0</v>
      </c>
      <c r="DD59" s="17">
        <v>3</v>
      </c>
      <c r="DE59" s="17">
        <v>100</v>
      </c>
      <c r="DF59" s="17">
        <v>14</v>
      </c>
      <c r="DG59" s="21">
        <v>8.23</v>
      </c>
      <c r="DH59" s="18">
        <v>3.87</v>
      </c>
      <c r="DI59" s="18">
        <v>143</v>
      </c>
      <c r="DJ59" s="18">
        <v>35.4</v>
      </c>
      <c r="DK59" s="17">
        <v>243</v>
      </c>
      <c r="DL59" s="21">
        <v>13</v>
      </c>
      <c r="DM59" s="21">
        <v>23</v>
      </c>
      <c r="DN59" s="18"/>
      <c r="DO59" s="18"/>
      <c r="DP59" s="21">
        <v>12</v>
      </c>
      <c r="DQ59" s="18">
        <v>0.54</v>
      </c>
      <c r="DR59" s="18">
        <v>121</v>
      </c>
      <c r="DY59" s="18">
        <v>142</v>
      </c>
      <c r="DZ59" s="18">
        <v>3.87</v>
      </c>
      <c r="EA59" s="18">
        <v>108</v>
      </c>
      <c r="EB59" s="18"/>
      <c r="EC59" s="18"/>
      <c r="ED59" s="17">
        <v>327</v>
      </c>
      <c r="EE59" s="18">
        <v>7.43</v>
      </c>
      <c r="EF59" s="18">
        <v>40</v>
      </c>
      <c r="EG59" s="18">
        <v>75</v>
      </c>
      <c r="EH59" s="18">
        <v>23</v>
      </c>
      <c r="EI59" s="18">
        <f>EG59/0.21</f>
        <v>357.14285714285717</v>
      </c>
      <c r="EJ59" s="18">
        <f>EG59/EI59</f>
        <v>0.21</v>
      </c>
      <c r="EL59" s="18"/>
      <c r="EM59" s="18">
        <v>15</v>
      </c>
      <c r="EN59" s="22">
        <v>4</v>
      </c>
      <c r="EO59" s="22">
        <v>5.0546156919954752</v>
      </c>
      <c r="EP59" s="18">
        <f t="shared" si="32"/>
        <v>1</v>
      </c>
      <c r="EQ59" s="18">
        <f t="shared" si="33"/>
        <v>0</v>
      </c>
      <c r="ER59" s="18">
        <f t="shared" si="34"/>
        <v>0</v>
      </c>
      <c r="ES59" s="18">
        <f t="shared" si="35"/>
        <v>1</v>
      </c>
      <c r="ET59" s="22">
        <v>0</v>
      </c>
      <c r="EU59" s="22">
        <v>0</v>
      </c>
      <c r="EV59" s="22">
        <v>0</v>
      </c>
      <c r="EW59" s="22">
        <v>0</v>
      </c>
      <c r="EX59" s="22">
        <v>0</v>
      </c>
      <c r="EY59" s="22">
        <f t="shared" si="36"/>
        <v>0</v>
      </c>
      <c r="EZ59" s="22">
        <v>1</v>
      </c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7">
        <v>327</v>
      </c>
      <c r="FT59" s="18"/>
      <c r="FU59" s="18"/>
      <c r="FV59" s="18"/>
      <c r="FW59" s="18"/>
      <c r="FX59" s="18"/>
      <c r="FY59" s="18"/>
      <c r="FZ59" s="18"/>
      <c r="GA59" s="18"/>
      <c r="GB59" s="22">
        <v>1</v>
      </c>
      <c r="GC59" s="22">
        <v>4</v>
      </c>
      <c r="GD59" s="22">
        <v>0</v>
      </c>
      <c r="GE59" s="18"/>
      <c r="GF59" s="18">
        <f t="shared" si="37"/>
        <v>0.77132867132867133</v>
      </c>
      <c r="GG59" s="17">
        <f t="shared" si="43"/>
        <v>1103</v>
      </c>
      <c r="GH59" s="17">
        <f t="shared" si="38"/>
        <v>2</v>
      </c>
      <c r="GI59" s="17">
        <f t="shared" si="23"/>
        <v>7</v>
      </c>
    </row>
    <row r="60" spans="1:193" ht="18" customHeight="1" x14ac:dyDescent="0.45">
      <c r="A60" s="14">
        <v>58</v>
      </c>
      <c r="B60" s="35">
        <v>2220043564</v>
      </c>
      <c r="C60" s="15" t="s">
        <v>353</v>
      </c>
      <c r="D60" s="16">
        <v>0</v>
      </c>
      <c r="E60" s="17">
        <v>1979</v>
      </c>
      <c r="F60" s="17">
        <f t="shared" si="24"/>
        <v>44</v>
      </c>
      <c r="G60" s="18" t="s">
        <v>200</v>
      </c>
      <c r="H60" s="18" t="s">
        <v>234</v>
      </c>
      <c r="I60" s="17">
        <v>0</v>
      </c>
      <c r="J60" s="18">
        <f t="shared" si="25"/>
        <v>3.2160000000000002</v>
      </c>
      <c r="K60" s="17">
        <v>67</v>
      </c>
      <c r="L60" s="17">
        <v>165</v>
      </c>
      <c r="M60" s="18">
        <f t="shared" si="41"/>
        <v>24.609733700642796</v>
      </c>
      <c r="N60" s="17">
        <v>0</v>
      </c>
      <c r="O60" s="17">
        <v>1</v>
      </c>
      <c r="P60" s="17">
        <v>0</v>
      </c>
      <c r="Q60" s="17">
        <v>0</v>
      </c>
      <c r="R60" s="17">
        <v>0</v>
      </c>
      <c r="S60" s="17">
        <v>0</v>
      </c>
      <c r="T60" s="17">
        <v>1</v>
      </c>
      <c r="U60" s="17">
        <v>1</v>
      </c>
      <c r="V60" s="19" t="s">
        <v>375</v>
      </c>
      <c r="W60" s="17">
        <v>24</v>
      </c>
      <c r="X60" s="20">
        <v>24</v>
      </c>
      <c r="Y60" s="17">
        <v>1</v>
      </c>
      <c r="Z60" s="17">
        <v>7</v>
      </c>
      <c r="AA60" s="17">
        <v>140</v>
      </c>
      <c r="AB60" s="17">
        <v>120</v>
      </c>
      <c r="AC60" s="17">
        <v>100</v>
      </c>
      <c r="AD60" s="18">
        <f t="shared" si="26"/>
        <v>106.66666666666667</v>
      </c>
      <c r="AE60" s="18">
        <v>26</v>
      </c>
      <c r="AF60" s="17">
        <v>37</v>
      </c>
      <c r="AG60" s="17">
        <v>1</v>
      </c>
      <c r="AH60" s="17">
        <v>1</v>
      </c>
      <c r="AI60" s="17">
        <v>0</v>
      </c>
      <c r="AJ60" s="17">
        <v>12</v>
      </c>
      <c r="AK60" s="18">
        <v>23</v>
      </c>
      <c r="AL60" s="18">
        <v>5.5</v>
      </c>
      <c r="AM60" s="18">
        <v>190</v>
      </c>
      <c r="AN60" s="18">
        <v>50</v>
      </c>
      <c r="AO60" s="18">
        <v>310</v>
      </c>
      <c r="AP60" s="18">
        <v>13</v>
      </c>
      <c r="AQ60" s="18">
        <v>33</v>
      </c>
      <c r="AR60" s="18"/>
      <c r="AS60" s="21">
        <v>140</v>
      </c>
      <c r="AT60" s="18"/>
      <c r="AX60" s="17">
        <v>58</v>
      </c>
      <c r="AY60" s="18">
        <v>1.18</v>
      </c>
      <c r="BA60" s="5">
        <v>0.38</v>
      </c>
      <c r="BB60" s="5">
        <v>0.08</v>
      </c>
      <c r="BC60" s="21">
        <v>68</v>
      </c>
      <c r="BD60" s="17">
        <v>118</v>
      </c>
      <c r="BE60" s="21">
        <v>5.14</v>
      </c>
      <c r="BF60" s="17">
        <v>81</v>
      </c>
      <c r="BH60" s="17">
        <v>153</v>
      </c>
      <c r="BI60" s="17">
        <v>4490</v>
      </c>
      <c r="BJ60" s="17">
        <v>333</v>
      </c>
      <c r="BK60" s="18"/>
      <c r="BL60" s="18">
        <v>8.6</v>
      </c>
      <c r="BM60" s="18">
        <v>7.1</v>
      </c>
      <c r="BN60" s="17">
        <v>11</v>
      </c>
      <c r="BO60" s="17">
        <v>129</v>
      </c>
      <c r="BP60" s="21">
        <v>3.6</v>
      </c>
      <c r="BQ60" s="21">
        <f>BO60/BR60</f>
        <v>215</v>
      </c>
      <c r="BR60" s="18">
        <v>0.6</v>
      </c>
      <c r="BS60" s="10">
        <v>2.08</v>
      </c>
      <c r="BT60" s="18">
        <v>3.2</v>
      </c>
      <c r="BU60" s="20">
        <v>24</v>
      </c>
      <c r="BV60" s="22">
        <v>49.675004577005971</v>
      </c>
      <c r="BW60" s="18">
        <f t="shared" si="27"/>
        <v>1</v>
      </c>
      <c r="BX60" s="18">
        <f t="shared" si="28"/>
        <v>1</v>
      </c>
      <c r="BY60" s="18">
        <f t="shared" si="29"/>
        <v>1</v>
      </c>
      <c r="BZ60" s="18">
        <f t="shared" si="30"/>
        <v>3</v>
      </c>
      <c r="CA60" s="22">
        <v>1</v>
      </c>
      <c r="CB60" s="22">
        <v>1</v>
      </c>
      <c r="CC60" s="22">
        <v>1</v>
      </c>
      <c r="CD60" s="22">
        <v>0</v>
      </c>
      <c r="CE60" s="22">
        <v>0</v>
      </c>
      <c r="CF60" s="22">
        <f t="shared" si="31"/>
        <v>3</v>
      </c>
      <c r="CG60" s="22">
        <v>2</v>
      </c>
      <c r="CH60" s="22">
        <v>4</v>
      </c>
      <c r="CI60" s="23">
        <v>0</v>
      </c>
      <c r="CJ60" s="23">
        <v>0</v>
      </c>
      <c r="CK60" s="23">
        <v>0</v>
      </c>
      <c r="CL60" s="23">
        <v>0</v>
      </c>
      <c r="CM60" s="23">
        <v>4</v>
      </c>
      <c r="CN60" s="23" t="s">
        <v>214</v>
      </c>
      <c r="CO60" s="18" t="s">
        <v>376</v>
      </c>
      <c r="CP60" s="18" t="s">
        <v>235</v>
      </c>
      <c r="CQ60" s="18">
        <v>180</v>
      </c>
      <c r="CR60" s="18">
        <v>1000</v>
      </c>
      <c r="CS60" s="18" t="s">
        <v>236</v>
      </c>
      <c r="CT60" s="18" t="s">
        <v>207</v>
      </c>
      <c r="CU60" s="17">
        <v>4490</v>
      </c>
      <c r="CV60" s="18" t="s">
        <v>209</v>
      </c>
      <c r="CW60" s="17">
        <v>2700</v>
      </c>
      <c r="CX60" s="21">
        <v>1.5</v>
      </c>
      <c r="CY60" s="17">
        <v>4000</v>
      </c>
      <c r="CZ60" s="17">
        <v>2600</v>
      </c>
      <c r="DA60" s="17">
        <v>1200</v>
      </c>
      <c r="DB60" s="17">
        <v>1</v>
      </c>
      <c r="DC60" s="17">
        <v>0</v>
      </c>
      <c r="DD60" s="17">
        <v>4</v>
      </c>
      <c r="DE60" s="17">
        <v>120</v>
      </c>
      <c r="DF60" s="17">
        <v>22</v>
      </c>
      <c r="DG60" s="21">
        <v>10</v>
      </c>
      <c r="DH60" s="18">
        <v>4.32</v>
      </c>
      <c r="DI60" s="18">
        <v>130</v>
      </c>
      <c r="DJ60" s="18">
        <v>39</v>
      </c>
      <c r="DK60" s="17">
        <v>144</v>
      </c>
      <c r="DL60" s="21">
        <v>15</v>
      </c>
      <c r="DM60" s="21">
        <v>59</v>
      </c>
      <c r="DN60" s="18"/>
      <c r="DO60" s="18"/>
      <c r="DP60" s="21">
        <v>15</v>
      </c>
      <c r="DQ60" s="18">
        <v>0.7</v>
      </c>
      <c r="DR60" s="18">
        <v>124</v>
      </c>
      <c r="DY60" s="18">
        <v>135</v>
      </c>
      <c r="DZ60" s="18">
        <v>3.11</v>
      </c>
      <c r="EA60" s="18">
        <v>107</v>
      </c>
      <c r="EB60" s="18"/>
      <c r="EC60" s="18">
        <v>885</v>
      </c>
      <c r="ED60" s="17">
        <v>854</v>
      </c>
      <c r="EE60" s="18">
        <v>7.21</v>
      </c>
      <c r="EF60" s="18">
        <v>20</v>
      </c>
      <c r="EG60" s="18">
        <v>111</v>
      </c>
      <c r="EH60" s="18">
        <v>8.1</v>
      </c>
      <c r="EI60" s="18">
        <f>EG60/EJ60</f>
        <v>370</v>
      </c>
      <c r="EJ60" s="18">
        <v>0.3</v>
      </c>
      <c r="EL60" s="18">
        <v>1.3</v>
      </c>
      <c r="EM60" s="18">
        <v>14</v>
      </c>
      <c r="EN60" s="22">
        <v>13</v>
      </c>
      <c r="EO60" s="22">
        <v>16.534282858797354</v>
      </c>
      <c r="EP60" s="18">
        <f t="shared" si="32"/>
        <v>1</v>
      </c>
      <c r="EQ60" s="18">
        <f t="shared" si="33"/>
        <v>1</v>
      </c>
      <c r="ER60" s="18">
        <f t="shared" si="34"/>
        <v>0</v>
      </c>
      <c r="ES60" s="18">
        <f t="shared" si="35"/>
        <v>2</v>
      </c>
      <c r="ET60" s="22">
        <v>0</v>
      </c>
      <c r="EU60" s="22">
        <v>0</v>
      </c>
      <c r="EV60" s="22">
        <v>1</v>
      </c>
      <c r="EW60" s="22">
        <v>0</v>
      </c>
      <c r="EX60" s="22">
        <v>0</v>
      </c>
      <c r="EY60" s="22">
        <f t="shared" si="36"/>
        <v>1</v>
      </c>
      <c r="EZ60" s="22">
        <v>2</v>
      </c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7">
        <v>854</v>
      </c>
      <c r="FT60" s="18"/>
      <c r="FU60" s="18"/>
      <c r="FV60" s="18"/>
      <c r="FW60" s="18"/>
      <c r="FX60" s="18"/>
      <c r="FY60" s="18"/>
      <c r="FZ60" s="18"/>
      <c r="GA60" s="18"/>
      <c r="GB60" s="22">
        <v>2</v>
      </c>
      <c r="GC60" s="22">
        <v>13</v>
      </c>
      <c r="GD60" s="22">
        <v>0</v>
      </c>
      <c r="GE60" s="18"/>
      <c r="GF60" s="18">
        <f t="shared" si="37"/>
        <v>0.80979955456570152</v>
      </c>
      <c r="GG60" s="17">
        <f t="shared" si="43"/>
        <v>3636</v>
      </c>
      <c r="GH60" s="17">
        <f t="shared" si="38"/>
        <v>2</v>
      </c>
      <c r="GI60" s="17">
        <f t="shared" si="23"/>
        <v>11</v>
      </c>
    </row>
    <row r="61" spans="1:193" ht="18" customHeight="1" x14ac:dyDescent="0.45">
      <c r="A61" s="14">
        <v>59</v>
      </c>
      <c r="B61" s="35">
        <v>2220034035</v>
      </c>
      <c r="C61" s="15" t="s">
        <v>372</v>
      </c>
      <c r="D61" s="16">
        <v>0</v>
      </c>
      <c r="E61" s="17">
        <v>1981</v>
      </c>
      <c r="F61" s="17">
        <f t="shared" si="24"/>
        <v>42</v>
      </c>
      <c r="G61" s="18" t="s">
        <v>200</v>
      </c>
      <c r="H61" s="18" t="s">
        <v>234</v>
      </c>
      <c r="I61" s="17">
        <v>0</v>
      </c>
      <c r="J61" s="18">
        <f t="shared" si="25"/>
        <v>4.08</v>
      </c>
      <c r="K61" s="17">
        <v>85</v>
      </c>
      <c r="L61" s="17">
        <v>170</v>
      </c>
      <c r="M61" s="18">
        <f t="shared" si="41"/>
        <v>29.411764705882355</v>
      </c>
      <c r="N61" s="17">
        <v>1</v>
      </c>
      <c r="O61" s="17">
        <v>1</v>
      </c>
      <c r="P61" s="17">
        <v>0</v>
      </c>
      <c r="Q61" s="17">
        <v>0</v>
      </c>
      <c r="R61" s="17">
        <v>1</v>
      </c>
      <c r="S61" s="17">
        <v>0</v>
      </c>
      <c r="T61" s="17">
        <v>1</v>
      </c>
      <c r="U61" s="17">
        <v>2</v>
      </c>
      <c r="V61" s="19" t="s">
        <v>425</v>
      </c>
      <c r="W61" s="17">
        <v>12</v>
      </c>
      <c r="X61" s="20">
        <v>8</v>
      </c>
      <c r="Y61" s="17">
        <v>1</v>
      </c>
      <c r="Z61" s="17">
        <v>13</v>
      </c>
      <c r="AA61" s="17">
        <v>100</v>
      </c>
      <c r="AB61" s="17">
        <v>180</v>
      </c>
      <c r="AC61" s="17">
        <v>90</v>
      </c>
      <c r="AD61" s="18">
        <f t="shared" si="26"/>
        <v>120</v>
      </c>
      <c r="AE61" s="18">
        <v>20</v>
      </c>
      <c r="AF61" s="17">
        <v>37</v>
      </c>
      <c r="AG61" s="17">
        <v>0</v>
      </c>
      <c r="AH61" s="17">
        <v>0</v>
      </c>
      <c r="AI61" s="17">
        <v>0</v>
      </c>
      <c r="AJ61" s="17">
        <v>12</v>
      </c>
      <c r="AK61" s="18">
        <v>12</v>
      </c>
      <c r="AL61" s="18">
        <v>4.5999999999999996</v>
      </c>
      <c r="AM61" s="18">
        <v>169</v>
      </c>
      <c r="AN61" s="18">
        <v>40</v>
      </c>
      <c r="AO61" s="18">
        <v>135</v>
      </c>
      <c r="AP61" s="18">
        <v>12</v>
      </c>
      <c r="AQ61" s="18">
        <v>31</v>
      </c>
      <c r="AR61" s="18"/>
      <c r="AS61" s="21">
        <v>57</v>
      </c>
      <c r="AT61" s="18"/>
      <c r="AX61" s="17">
        <v>22</v>
      </c>
      <c r="AY61" s="18">
        <v>0.95</v>
      </c>
      <c r="BA61" s="5">
        <v>0.5</v>
      </c>
      <c r="BB61" s="5">
        <v>0.12</v>
      </c>
      <c r="BC61" s="21">
        <v>88</v>
      </c>
      <c r="BD61" s="17">
        <v>123</v>
      </c>
      <c r="BE61" s="21">
        <v>3.4</v>
      </c>
      <c r="BF61" s="17">
        <v>99</v>
      </c>
      <c r="BH61" s="17">
        <v>728</v>
      </c>
      <c r="BI61" s="17">
        <v>3029</v>
      </c>
      <c r="BJ61" s="17">
        <v>281</v>
      </c>
      <c r="BK61" s="18">
        <v>10.55</v>
      </c>
      <c r="BL61" s="18"/>
      <c r="BM61" s="18">
        <v>7.45</v>
      </c>
      <c r="BN61" s="17">
        <v>32</v>
      </c>
      <c r="BO61" s="17">
        <v>81</v>
      </c>
      <c r="BP61" s="21">
        <v>22</v>
      </c>
      <c r="BQ61" s="21">
        <v>385</v>
      </c>
      <c r="BR61" s="18">
        <f>BO61/BQ61</f>
        <v>0.21038961038961038</v>
      </c>
      <c r="BT61" s="18">
        <v>1.26</v>
      </c>
      <c r="BU61" s="20">
        <v>8</v>
      </c>
      <c r="BV61" s="22">
        <v>8.7145290593121416</v>
      </c>
      <c r="BW61" s="18">
        <f t="shared" si="27"/>
        <v>1</v>
      </c>
      <c r="BX61" s="18">
        <f t="shared" si="28"/>
        <v>0</v>
      </c>
      <c r="BY61" s="18">
        <f t="shared" si="29"/>
        <v>0</v>
      </c>
      <c r="BZ61" s="18">
        <f t="shared" si="30"/>
        <v>1</v>
      </c>
      <c r="CA61" s="22">
        <v>0</v>
      </c>
      <c r="CB61" s="22">
        <v>1</v>
      </c>
      <c r="CC61" s="22">
        <v>0</v>
      </c>
      <c r="CD61" s="22">
        <v>0</v>
      </c>
      <c r="CE61" s="22">
        <v>0</v>
      </c>
      <c r="CF61" s="22">
        <f t="shared" si="31"/>
        <v>1</v>
      </c>
      <c r="CG61" s="22">
        <v>1</v>
      </c>
      <c r="CH61" s="22">
        <v>4</v>
      </c>
      <c r="CI61" s="23">
        <v>0</v>
      </c>
      <c r="CJ61" s="23">
        <v>0</v>
      </c>
      <c r="CK61" s="23">
        <v>1</v>
      </c>
      <c r="CL61" s="23">
        <v>0</v>
      </c>
      <c r="CM61" s="23">
        <v>6</v>
      </c>
      <c r="CN61" s="23" t="s">
        <v>203</v>
      </c>
      <c r="CO61" s="18" t="s">
        <v>426</v>
      </c>
      <c r="CP61" s="18" t="s">
        <v>235</v>
      </c>
      <c r="CQ61" s="18">
        <v>150</v>
      </c>
      <c r="CR61" s="18">
        <v>1800</v>
      </c>
      <c r="CS61" s="18" t="s">
        <v>236</v>
      </c>
      <c r="CT61" s="18" t="s">
        <v>207</v>
      </c>
      <c r="CU61" s="17">
        <v>3029</v>
      </c>
      <c r="CV61" s="18" t="s">
        <v>209</v>
      </c>
      <c r="CW61" s="17">
        <v>3600</v>
      </c>
      <c r="CX61" s="21">
        <v>1.5</v>
      </c>
      <c r="CY61" s="17">
        <v>5400</v>
      </c>
      <c r="CZ61" s="17">
        <v>3400</v>
      </c>
      <c r="DA61" s="17">
        <v>850</v>
      </c>
      <c r="DB61" s="17">
        <v>1</v>
      </c>
      <c r="DC61" s="17">
        <v>0</v>
      </c>
      <c r="DD61" s="17">
        <v>3</v>
      </c>
      <c r="DE61" s="17">
        <v>80</v>
      </c>
      <c r="DF61" s="17">
        <v>17</v>
      </c>
      <c r="DG61" s="21">
        <v>23</v>
      </c>
      <c r="DH61" s="18">
        <v>4.5999999999999996</v>
      </c>
      <c r="DI61" s="18">
        <v>147</v>
      </c>
      <c r="DJ61" s="18">
        <v>40</v>
      </c>
      <c r="DK61" s="17">
        <v>109</v>
      </c>
      <c r="DL61" s="21">
        <v>12</v>
      </c>
      <c r="DM61" s="21">
        <v>38</v>
      </c>
      <c r="DN61" s="18">
        <v>139</v>
      </c>
      <c r="DO61" s="18"/>
      <c r="DP61" s="21">
        <v>10</v>
      </c>
      <c r="DQ61" s="18">
        <v>0.66</v>
      </c>
      <c r="DR61" s="18">
        <v>134</v>
      </c>
      <c r="DY61" s="18">
        <v>131</v>
      </c>
      <c r="DZ61" s="18">
        <v>3.16</v>
      </c>
      <c r="EA61" s="18">
        <v>102</v>
      </c>
      <c r="EB61" s="18"/>
      <c r="EC61" s="18"/>
      <c r="ED61" s="17">
        <v>665</v>
      </c>
      <c r="EE61" s="18">
        <v>7.38</v>
      </c>
      <c r="EF61" s="18">
        <v>37</v>
      </c>
      <c r="EG61" s="18">
        <v>85</v>
      </c>
      <c r="EH61" s="18">
        <v>27</v>
      </c>
      <c r="EI61" s="18">
        <f>EG61/0.21</f>
        <v>404.76190476190476</v>
      </c>
      <c r="EJ61" s="18">
        <f>EG61/EI61</f>
        <v>0.21</v>
      </c>
      <c r="EL61" s="18"/>
      <c r="EM61" s="18">
        <v>14</v>
      </c>
      <c r="EN61" s="22">
        <v>6</v>
      </c>
      <c r="EO61" s="22">
        <v>6.6545891108010107</v>
      </c>
      <c r="EP61" s="18">
        <f t="shared" si="32"/>
        <v>0</v>
      </c>
      <c r="EQ61" s="18">
        <f t="shared" si="33"/>
        <v>0</v>
      </c>
      <c r="ER61" s="18">
        <f t="shared" si="34"/>
        <v>0</v>
      </c>
      <c r="ES61" s="18">
        <f t="shared" si="35"/>
        <v>0</v>
      </c>
      <c r="ET61" s="22">
        <v>0</v>
      </c>
      <c r="EU61" s="22">
        <v>0</v>
      </c>
      <c r="EV61" s="22">
        <v>1</v>
      </c>
      <c r="EW61" s="22">
        <v>0</v>
      </c>
      <c r="EX61" s="22">
        <v>0</v>
      </c>
      <c r="EY61" s="22">
        <f t="shared" si="36"/>
        <v>1</v>
      </c>
      <c r="EZ61" s="22">
        <v>4</v>
      </c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7">
        <v>665</v>
      </c>
      <c r="FT61" s="18"/>
      <c r="FU61" s="18"/>
      <c r="FV61" s="18"/>
      <c r="FW61" s="18"/>
      <c r="FX61" s="18"/>
      <c r="FY61" s="18"/>
      <c r="FZ61" s="18"/>
      <c r="GA61" s="18"/>
      <c r="GB61" s="22">
        <v>4</v>
      </c>
      <c r="GC61" s="22">
        <v>6</v>
      </c>
      <c r="GD61" s="22">
        <v>0</v>
      </c>
      <c r="GE61" s="18"/>
      <c r="GF61" s="18">
        <f t="shared" si="37"/>
        <v>0.7804555959062397</v>
      </c>
      <c r="GG61" s="17">
        <f t="shared" si="43"/>
        <v>2364</v>
      </c>
      <c r="GH61" s="17">
        <f t="shared" si="38"/>
        <v>0</v>
      </c>
      <c r="GI61" s="17">
        <f t="shared" si="23"/>
        <v>2</v>
      </c>
    </row>
    <row r="62" spans="1:193" ht="18" customHeight="1" x14ac:dyDescent="0.45">
      <c r="A62" s="14">
        <v>60</v>
      </c>
      <c r="B62" s="35">
        <v>2220013047</v>
      </c>
      <c r="C62" s="15" t="s">
        <v>345</v>
      </c>
      <c r="D62" s="16">
        <v>1</v>
      </c>
      <c r="E62" s="17">
        <v>1984</v>
      </c>
      <c r="F62" s="17">
        <f t="shared" si="24"/>
        <v>39</v>
      </c>
      <c r="G62" s="18" t="s">
        <v>200</v>
      </c>
      <c r="H62" s="18" t="s">
        <v>350</v>
      </c>
      <c r="I62" s="17">
        <v>0</v>
      </c>
      <c r="J62" s="18">
        <f t="shared" si="25"/>
        <v>3.36</v>
      </c>
      <c r="K62" s="17">
        <v>70</v>
      </c>
      <c r="L62" s="17">
        <v>166</v>
      </c>
      <c r="M62" s="18">
        <f t="shared" si="41"/>
        <v>25.402816083611555</v>
      </c>
      <c r="N62" s="17">
        <v>0</v>
      </c>
      <c r="O62" s="17">
        <v>1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9" t="s">
        <v>481</v>
      </c>
      <c r="W62" s="17">
        <v>24</v>
      </c>
      <c r="X62" s="20">
        <v>31</v>
      </c>
      <c r="Y62" s="17">
        <v>1</v>
      </c>
      <c r="Z62" s="17">
        <v>9</v>
      </c>
      <c r="AA62" s="17">
        <v>150</v>
      </c>
      <c r="AB62" s="17">
        <v>70</v>
      </c>
      <c r="AC62" s="17">
        <v>40</v>
      </c>
      <c r="AD62" s="18">
        <f t="shared" si="26"/>
        <v>50</v>
      </c>
      <c r="AE62" s="18">
        <v>18</v>
      </c>
      <c r="AF62" s="17">
        <v>37</v>
      </c>
      <c r="AG62" s="17">
        <v>1</v>
      </c>
      <c r="AH62" s="17">
        <v>1</v>
      </c>
      <c r="AI62" s="17">
        <v>0</v>
      </c>
      <c r="AJ62" s="17">
        <v>6</v>
      </c>
      <c r="AK62" s="18">
        <v>20</v>
      </c>
      <c r="AL62" s="18">
        <v>4.8</v>
      </c>
      <c r="AM62" s="18">
        <v>160</v>
      </c>
      <c r="AN62" s="18">
        <v>47</v>
      </c>
      <c r="AO62" s="18">
        <v>91</v>
      </c>
      <c r="AP62" s="18">
        <v>19</v>
      </c>
      <c r="AQ62" s="18">
        <v>30</v>
      </c>
      <c r="AR62" s="18">
        <v>0.88</v>
      </c>
      <c r="AT62" s="18"/>
      <c r="AX62" s="17">
        <v>17</v>
      </c>
      <c r="AY62" s="18">
        <v>2.9</v>
      </c>
      <c r="BA62" s="5">
        <v>1.25</v>
      </c>
      <c r="BB62" s="5">
        <v>0.39</v>
      </c>
      <c r="BC62" s="21">
        <v>26</v>
      </c>
      <c r="BD62" s="17">
        <v>143</v>
      </c>
      <c r="BE62" s="21">
        <v>5.7</v>
      </c>
      <c r="BF62" s="17">
        <v>101</v>
      </c>
      <c r="BH62" s="17">
        <v>4185</v>
      </c>
      <c r="BI62" s="17">
        <v>1733</v>
      </c>
      <c r="BJ62" s="17">
        <v>232</v>
      </c>
      <c r="BK62" s="18"/>
      <c r="BL62" s="18"/>
      <c r="BM62" s="18">
        <v>7.22</v>
      </c>
      <c r="BN62" s="17">
        <v>36</v>
      </c>
      <c r="BO62" s="17">
        <v>244</v>
      </c>
      <c r="BP62" s="21">
        <v>14</v>
      </c>
      <c r="BQ62" s="21">
        <f>BO62/BR62</f>
        <v>460.377358490566</v>
      </c>
      <c r="BR62" s="18">
        <v>0.53</v>
      </c>
      <c r="BT62" s="18">
        <v>5.0999999999999996</v>
      </c>
      <c r="BU62" s="20">
        <v>31</v>
      </c>
      <c r="BV62" s="22">
        <v>73.282440203207784</v>
      </c>
      <c r="BW62" s="18">
        <f t="shared" si="27"/>
        <v>1</v>
      </c>
      <c r="BX62" s="18">
        <f t="shared" si="28"/>
        <v>0</v>
      </c>
      <c r="BY62" s="18">
        <f t="shared" si="29"/>
        <v>0</v>
      </c>
      <c r="BZ62" s="18">
        <f t="shared" si="30"/>
        <v>1</v>
      </c>
      <c r="CA62" s="22">
        <v>0</v>
      </c>
      <c r="CB62" s="22">
        <v>1</v>
      </c>
      <c r="CC62" s="22">
        <v>1</v>
      </c>
      <c r="CD62" s="22">
        <v>0</v>
      </c>
      <c r="CE62" s="22">
        <v>0</v>
      </c>
      <c r="CF62" s="22">
        <f t="shared" si="31"/>
        <v>2</v>
      </c>
      <c r="CG62" s="22">
        <v>2</v>
      </c>
      <c r="CH62" s="22">
        <v>9</v>
      </c>
      <c r="CI62" s="23">
        <v>0</v>
      </c>
      <c r="CJ62" s="23">
        <v>0</v>
      </c>
      <c r="CK62" s="23">
        <v>1</v>
      </c>
      <c r="CL62" s="23">
        <v>0</v>
      </c>
      <c r="CM62" s="23">
        <v>10</v>
      </c>
      <c r="CN62" s="23" t="s">
        <v>203</v>
      </c>
      <c r="CO62" s="18" t="s">
        <v>482</v>
      </c>
      <c r="CP62" s="18" t="s">
        <v>235</v>
      </c>
      <c r="CQ62" s="18">
        <v>150</v>
      </c>
      <c r="CR62" s="18">
        <v>1500</v>
      </c>
      <c r="CS62" s="18" t="s">
        <v>236</v>
      </c>
      <c r="CT62" s="18" t="s">
        <v>244</v>
      </c>
      <c r="CU62" s="17">
        <v>3056</v>
      </c>
      <c r="CV62" s="18" t="s">
        <v>209</v>
      </c>
      <c r="CW62" s="17">
        <v>2300</v>
      </c>
      <c r="CX62" s="21">
        <v>1.5</v>
      </c>
      <c r="CY62" s="17">
        <v>3400</v>
      </c>
      <c r="DB62" s="17">
        <v>1</v>
      </c>
      <c r="DC62" s="17">
        <v>1</v>
      </c>
      <c r="DD62" s="17">
        <v>3</v>
      </c>
      <c r="DE62" s="17">
        <v>140</v>
      </c>
      <c r="DF62" s="17">
        <v>25</v>
      </c>
      <c r="DG62" s="21">
        <v>7.7</v>
      </c>
      <c r="DH62" s="18">
        <v>3.4</v>
      </c>
      <c r="DI62" s="18">
        <v>127</v>
      </c>
      <c r="DJ62" s="18">
        <v>35.6</v>
      </c>
      <c r="DK62" s="17">
        <v>432</v>
      </c>
      <c r="DL62" s="21">
        <v>23</v>
      </c>
      <c r="DM62" s="21">
        <v>54</v>
      </c>
      <c r="DN62" s="18">
        <v>196</v>
      </c>
      <c r="DO62" s="18"/>
      <c r="DP62" s="21">
        <v>26</v>
      </c>
      <c r="DQ62" s="18">
        <v>3.15</v>
      </c>
      <c r="DR62" s="18">
        <v>24</v>
      </c>
      <c r="DY62" s="18">
        <v>132</v>
      </c>
      <c r="DZ62" s="18">
        <v>3.5</v>
      </c>
      <c r="EA62" s="18">
        <v>99</v>
      </c>
      <c r="EB62" s="18"/>
      <c r="EC62" s="18">
        <v>420</v>
      </c>
      <c r="ED62" s="17">
        <v>489</v>
      </c>
      <c r="EE62" s="18">
        <v>7.37</v>
      </c>
      <c r="EF62" s="18">
        <v>25</v>
      </c>
      <c r="EG62" s="18">
        <v>80</v>
      </c>
      <c r="EH62" s="18">
        <v>19</v>
      </c>
      <c r="EI62" s="18">
        <f>EG62/0.21</f>
        <v>380.95238095238096</v>
      </c>
      <c r="EJ62" s="18">
        <f>EG62/EI62</f>
        <v>0.21</v>
      </c>
      <c r="EL62" s="18"/>
      <c r="EM62" s="18">
        <v>3</v>
      </c>
      <c r="EN62" s="22">
        <v>29</v>
      </c>
      <c r="EO62" s="22">
        <v>67.194605485035481</v>
      </c>
      <c r="EP62" s="18">
        <f t="shared" si="32"/>
        <v>1</v>
      </c>
      <c r="EQ62" s="18">
        <f t="shared" si="33"/>
        <v>1</v>
      </c>
      <c r="ER62" s="18">
        <f t="shared" si="34"/>
        <v>0</v>
      </c>
      <c r="ES62" s="18">
        <f t="shared" si="35"/>
        <v>2</v>
      </c>
      <c r="ET62" s="22">
        <v>1</v>
      </c>
      <c r="EU62" s="22">
        <v>1</v>
      </c>
      <c r="EV62" s="22">
        <v>0</v>
      </c>
      <c r="EW62" s="22">
        <v>0</v>
      </c>
      <c r="EX62" s="22">
        <v>0</v>
      </c>
      <c r="EY62" s="22">
        <f t="shared" si="36"/>
        <v>2</v>
      </c>
      <c r="EZ62" s="22">
        <v>9</v>
      </c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7">
        <v>489</v>
      </c>
      <c r="FT62" s="18"/>
      <c r="FU62" s="18"/>
      <c r="FV62" s="18"/>
      <c r="FW62" s="18"/>
      <c r="FX62" s="18"/>
      <c r="FY62" s="18"/>
      <c r="FZ62" s="18"/>
      <c r="GA62" s="18"/>
      <c r="GB62" s="22">
        <v>13</v>
      </c>
      <c r="GC62" s="22">
        <v>29</v>
      </c>
      <c r="GD62" s="22">
        <v>1</v>
      </c>
      <c r="GE62" s="18"/>
      <c r="GF62" s="18">
        <f t="shared" si="37"/>
        <v>0.7178303519907675</v>
      </c>
      <c r="GG62" s="17">
        <f>BI62-FS62</f>
        <v>1244</v>
      </c>
      <c r="GH62" s="17">
        <f t="shared" si="38"/>
        <v>0</v>
      </c>
      <c r="GI62" s="17">
        <f t="shared" si="23"/>
        <v>2</v>
      </c>
    </row>
    <row r="63" spans="1:193" ht="18" customHeight="1" x14ac:dyDescent="0.45">
      <c r="A63" s="14">
        <v>61</v>
      </c>
      <c r="B63" s="35">
        <v>2220016278</v>
      </c>
      <c r="C63" s="15" t="s">
        <v>292</v>
      </c>
      <c r="D63" s="16">
        <v>1</v>
      </c>
      <c r="E63" s="17">
        <v>1994</v>
      </c>
      <c r="F63" s="17">
        <f t="shared" si="24"/>
        <v>29</v>
      </c>
      <c r="G63" s="18" t="s">
        <v>211</v>
      </c>
      <c r="H63" s="18" t="s">
        <v>275</v>
      </c>
      <c r="I63" s="17">
        <v>0</v>
      </c>
      <c r="J63" s="18">
        <f t="shared" si="25"/>
        <v>2.88</v>
      </c>
      <c r="K63" s="17">
        <v>60</v>
      </c>
      <c r="L63" s="17">
        <v>164</v>
      </c>
      <c r="M63" s="18">
        <f t="shared" si="41"/>
        <v>22.308149910767405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9" t="s">
        <v>276</v>
      </c>
      <c r="W63" s="17">
        <v>48</v>
      </c>
      <c r="X63" s="20">
        <v>30</v>
      </c>
      <c r="Y63" s="17">
        <v>1</v>
      </c>
      <c r="Z63" s="17">
        <v>20</v>
      </c>
      <c r="AA63" s="17">
        <v>120</v>
      </c>
      <c r="AB63" s="17">
        <v>120</v>
      </c>
      <c r="AC63" s="17">
        <v>80</v>
      </c>
      <c r="AD63" s="18">
        <f t="shared" si="26"/>
        <v>93.333333333333329</v>
      </c>
      <c r="AE63" s="18">
        <v>20</v>
      </c>
      <c r="AF63" s="17">
        <v>37</v>
      </c>
      <c r="AG63" s="17">
        <v>1</v>
      </c>
      <c r="AH63" s="17">
        <v>0</v>
      </c>
      <c r="AI63" s="17">
        <v>0</v>
      </c>
      <c r="AJ63" s="17">
        <v>3</v>
      </c>
      <c r="AK63" s="18">
        <v>7.1</v>
      </c>
      <c r="AL63" s="18">
        <v>4.16</v>
      </c>
      <c r="AM63" s="18">
        <v>140</v>
      </c>
      <c r="AN63" s="18">
        <v>38</v>
      </c>
      <c r="AO63" s="18">
        <v>49</v>
      </c>
      <c r="AP63" s="18">
        <v>12</v>
      </c>
      <c r="AQ63" s="18">
        <v>36</v>
      </c>
      <c r="AR63" s="18">
        <v>3.8</v>
      </c>
      <c r="AS63" s="21">
        <v>220</v>
      </c>
      <c r="AT63" s="18">
        <v>105.8</v>
      </c>
      <c r="AX63" s="17">
        <v>27</v>
      </c>
      <c r="AY63" s="18">
        <v>3.1</v>
      </c>
      <c r="BA63" s="5">
        <v>1.29</v>
      </c>
      <c r="BB63" s="5">
        <v>0.5</v>
      </c>
      <c r="BC63" s="21">
        <v>25</v>
      </c>
      <c r="BD63" s="17">
        <v>129</v>
      </c>
      <c r="BE63" s="21">
        <v>4.3</v>
      </c>
      <c r="BF63" s="17">
        <v>100</v>
      </c>
      <c r="BG63" s="17">
        <v>161</v>
      </c>
      <c r="BH63" s="17">
        <v>448</v>
      </c>
      <c r="BI63" s="17">
        <v>1023</v>
      </c>
      <c r="BJ63" s="17">
        <v>500</v>
      </c>
      <c r="BK63" s="18"/>
      <c r="BL63" s="18">
        <v>100</v>
      </c>
      <c r="BM63" s="18">
        <v>7.09</v>
      </c>
      <c r="BN63" s="17">
        <v>19</v>
      </c>
      <c r="BO63" s="17">
        <v>192</v>
      </c>
      <c r="BP63" s="21">
        <v>5.7</v>
      </c>
      <c r="BQ63" s="21">
        <f>BO63/BR63</f>
        <v>376.47058823529409</v>
      </c>
      <c r="BR63" s="18">
        <v>0.51</v>
      </c>
      <c r="BS63" s="10">
        <v>1.45</v>
      </c>
      <c r="BT63" s="18">
        <v>1.7</v>
      </c>
      <c r="BU63" s="20">
        <v>30</v>
      </c>
      <c r="BV63" s="22">
        <v>70.328705900973191</v>
      </c>
      <c r="BW63" s="18">
        <f t="shared" si="27"/>
        <v>1</v>
      </c>
      <c r="BX63" s="18">
        <f t="shared" si="28"/>
        <v>0</v>
      </c>
      <c r="BY63" s="18">
        <f t="shared" si="29"/>
        <v>0</v>
      </c>
      <c r="BZ63" s="18">
        <f t="shared" si="30"/>
        <v>1</v>
      </c>
      <c r="CA63" s="22">
        <v>1</v>
      </c>
      <c r="CB63" s="22">
        <v>1</v>
      </c>
      <c r="CC63" s="22">
        <v>0</v>
      </c>
      <c r="CD63" s="22">
        <v>0</v>
      </c>
      <c r="CE63" s="22">
        <v>0</v>
      </c>
      <c r="CF63" s="22">
        <f t="shared" si="31"/>
        <v>2</v>
      </c>
      <c r="CG63" s="22">
        <v>1</v>
      </c>
      <c r="CH63" s="22">
        <v>11</v>
      </c>
      <c r="CI63" s="23">
        <v>0</v>
      </c>
      <c r="CJ63" s="23">
        <v>1</v>
      </c>
      <c r="CK63" s="23">
        <v>0</v>
      </c>
      <c r="CL63" s="23">
        <v>0</v>
      </c>
      <c r="CM63" s="23">
        <v>3</v>
      </c>
      <c r="CN63" s="23" t="s">
        <v>219</v>
      </c>
      <c r="CO63" s="18" t="s">
        <v>277</v>
      </c>
      <c r="CP63" s="18" t="s">
        <v>205</v>
      </c>
      <c r="CQ63" s="18">
        <v>100</v>
      </c>
      <c r="CR63" s="18">
        <v>1500</v>
      </c>
      <c r="CS63" s="18" t="s">
        <v>236</v>
      </c>
      <c r="CT63" s="18" t="s">
        <v>207</v>
      </c>
      <c r="CU63" s="17">
        <f>BI63</f>
        <v>1023</v>
      </c>
      <c r="CV63" s="18" t="s">
        <v>208</v>
      </c>
      <c r="CW63" s="17">
        <v>2700</v>
      </c>
      <c r="CX63" s="21">
        <v>1.5</v>
      </c>
      <c r="CY63" s="17">
        <v>4000</v>
      </c>
      <c r="DB63" s="17">
        <v>1</v>
      </c>
      <c r="DC63" s="17">
        <v>1</v>
      </c>
      <c r="DD63" s="17">
        <v>3</v>
      </c>
      <c r="DE63" s="17">
        <v>100</v>
      </c>
      <c r="DF63" s="17">
        <v>16</v>
      </c>
      <c r="DG63" s="21">
        <v>5.6</v>
      </c>
      <c r="DH63" s="18">
        <v>3.04</v>
      </c>
      <c r="DI63" s="18">
        <v>102</v>
      </c>
      <c r="DJ63" s="18">
        <v>29</v>
      </c>
      <c r="DK63" s="17">
        <v>17</v>
      </c>
      <c r="DL63" s="21">
        <v>10</v>
      </c>
      <c r="DM63" s="21">
        <v>47</v>
      </c>
      <c r="DN63" s="18"/>
      <c r="DO63" s="18">
        <v>2.7</v>
      </c>
      <c r="DP63" s="21">
        <v>25</v>
      </c>
      <c r="DQ63" s="18">
        <v>3.1</v>
      </c>
      <c r="DR63" s="18">
        <v>25</v>
      </c>
      <c r="DY63" s="18">
        <v>147</v>
      </c>
      <c r="DZ63" s="18">
        <v>1.8</v>
      </c>
      <c r="EA63" s="18">
        <v>110</v>
      </c>
      <c r="EB63" s="18"/>
      <c r="EC63" s="18"/>
      <c r="ED63" s="17">
        <v>262</v>
      </c>
      <c r="EE63" s="18">
        <v>7.37</v>
      </c>
      <c r="EF63" s="18">
        <v>40</v>
      </c>
      <c r="EG63" s="18">
        <v>76</v>
      </c>
      <c r="EH63" s="18">
        <v>23.7</v>
      </c>
      <c r="EI63" s="18">
        <f>EG63/0.21</f>
        <v>361.90476190476193</v>
      </c>
      <c r="EJ63" s="18">
        <f>EG63/EI63</f>
        <v>0.21</v>
      </c>
      <c r="EL63" s="18"/>
      <c r="EM63" s="18">
        <v>3</v>
      </c>
      <c r="EN63" s="22">
        <v>26</v>
      </c>
      <c r="EO63" s="22">
        <v>56.93010435855571</v>
      </c>
      <c r="EP63" s="18">
        <f t="shared" si="32"/>
        <v>1</v>
      </c>
      <c r="EQ63" s="18">
        <f t="shared" si="33"/>
        <v>0</v>
      </c>
      <c r="ER63" s="18">
        <f t="shared" si="34"/>
        <v>0</v>
      </c>
      <c r="ES63" s="18">
        <f t="shared" si="35"/>
        <v>1</v>
      </c>
      <c r="ET63" s="22">
        <v>0</v>
      </c>
      <c r="EU63" s="22">
        <v>1</v>
      </c>
      <c r="EV63" s="22">
        <v>0</v>
      </c>
      <c r="EW63" s="22">
        <v>0</v>
      </c>
      <c r="EX63" s="22">
        <v>0</v>
      </c>
      <c r="EY63" s="22">
        <f t="shared" si="36"/>
        <v>1</v>
      </c>
      <c r="EZ63" s="22">
        <v>9</v>
      </c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7">
        <v>262</v>
      </c>
      <c r="FT63" s="18"/>
      <c r="FU63" s="18"/>
      <c r="FV63" s="18"/>
      <c r="FW63" s="18"/>
      <c r="FX63" s="18"/>
      <c r="FY63" s="18"/>
      <c r="FZ63" s="18"/>
      <c r="GA63" s="18"/>
      <c r="GB63" s="22">
        <v>9</v>
      </c>
      <c r="GC63" s="22">
        <v>26</v>
      </c>
      <c r="GD63" s="22">
        <v>1</v>
      </c>
      <c r="GE63" s="18"/>
      <c r="GF63" s="18">
        <f t="shared" si="37"/>
        <v>0.74389051808406648</v>
      </c>
      <c r="GG63" s="17">
        <f>BI63-ED63</f>
        <v>761</v>
      </c>
      <c r="GH63" s="17">
        <f t="shared" si="38"/>
        <v>1</v>
      </c>
      <c r="GI63" s="17">
        <f t="shared" si="23"/>
        <v>4</v>
      </c>
    </row>
    <row r="64" spans="1:193" ht="18" customHeight="1" x14ac:dyDescent="0.45">
      <c r="A64" s="14">
        <v>62</v>
      </c>
      <c r="B64" s="35">
        <v>2220023744</v>
      </c>
      <c r="C64" s="15" t="s">
        <v>456</v>
      </c>
      <c r="D64" s="16">
        <v>1</v>
      </c>
      <c r="E64" s="17">
        <v>1979</v>
      </c>
      <c r="F64" s="17">
        <f t="shared" si="24"/>
        <v>44</v>
      </c>
      <c r="G64" s="18" t="s">
        <v>200</v>
      </c>
      <c r="H64" s="18" t="s">
        <v>222</v>
      </c>
      <c r="I64" s="17">
        <v>1</v>
      </c>
      <c r="J64" s="18">
        <f t="shared" si="25"/>
        <v>4.08</v>
      </c>
      <c r="K64" s="17">
        <v>85</v>
      </c>
      <c r="L64" s="17">
        <v>172</v>
      </c>
      <c r="M64" s="18">
        <f t="shared" si="41"/>
        <v>28.731746890210928</v>
      </c>
      <c r="N64" s="17">
        <v>0</v>
      </c>
      <c r="O64" s="17">
        <v>1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9" t="s">
        <v>223</v>
      </c>
      <c r="W64" s="17">
        <v>24</v>
      </c>
      <c r="X64" s="20">
        <v>14</v>
      </c>
      <c r="Y64" s="17">
        <v>2</v>
      </c>
      <c r="Z64" s="17">
        <v>7</v>
      </c>
      <c r="AA64" s="17">
        <v>120</v>
      </c>
      <c r="AB64" s="17">
        <v>120</v>
      </c>
      <c r="AC64" s="17">
        <v>70</v>
      </c>
      <c r="AD64" s="18">
        <f t="shared" si="26"/>
        <v>86.666666666666657</v>
      </c>
      <c r="AE64" s="18">
        <v>18</v>
      </c>
      <c r="AF64" s="17">
        <v>37</v>
      </c>
      <c r="AG64" s="17">
        <v>1</v>
      </c>
      <c r="AH64" s="17">
        <v>1</v>
      </c>
      <c r="AI64" s="17">
        <v>0</v>
      </c>
      <c r="AJ64" s="17">
        <v>13</v>
      </c>
      <c r="AK64" s="18">
        <v>18</v>
      </c>
      <c r="AL64" s="18">
        <v>5.29</v>
      </c>
      <c r="AM64" s="18">
        <v>174</v>
      </c>
      <c r="AN64" s="18">
        <v>45</v>
      </c>
      <c r="AO64" s="18">
        <v>327</v>
      </c>
      <c r="AP64" s="18">
        <v>13</v>
      </c>
      <c r="AQ64" s="18">
        <v>33</v>
      </c>
      <c r="AR64" s="18">
        <v>8.5</v>
      </c>
      <c r="AT64" s="18"/>
      <c r="AX64" s="17">
        <v>21</v>
      </c>
      <c r="AY64" s="18">
        <v>0.8</v>
      </c>
      <c r="BA64" s="5">
        <v>0.37</v>
      </c>
      <c r="BB64" s="5">
        <v>0.1</v>
      </c>
      <c r="BC64" s="21">
        <v>108</v>
      </c>
      <c r="BD64" s="17">
        <v>117</v>
      </c>
      <c r="BE64" s="21">
        <v>4.8</v>
      </c>
      <c r="BF64" s="17">
        <v>91</v>
      </c>
      <c r="BH64" s="17">
        <v>1268</v>
      </c>
      <c r="BI64" s="17">
        <v>2390</v>
      </c>
      <c r="BJ64" s="17">
        <v>158</v>
      </c>
      <c r="BK64" s="18">
        <v>11.69</v>
      </c>
      <c r="BL64" s="18"/>
      <c r="BM64" s="18">
        <v>7.26</v>
      </c>
      <c r="BN64" s="17">
        <v>20</v>
      </c>
      <c r="BO64" s="17">
        <v>112</v>
      </c>
      <c r="BP64" s="21">
        <v>9</v>
      </c>
      <c r="BQ64" s="21">
        <v>400</v>
      </c>
      <c r="BR64" s="18"/>
      <c r="BS64" s="10">
        <v>2.4</v>
      </c>
      <c r="BU64" s="20">
        <v>14</v>
      </c>
      <c r="BV64" s="22">
        <v>18.648705693704155</v>
      </c>
      <c r="BW64" s="18">
        <f t="shared" si="27"/>
        <v>1</v>
      </c>
      <c r="BX64" s="18">
        <f t="shared" si="28"/>
        <v>0</v>
      </c>
      <c r="BY64" s="18">
        <f t="shared" si="29"/>
        <v>0</v>
      </c>
      <c r="BZ64" s="18">
        <f t="shared" si="30"/>
        <v>1</v>
      </c>
      <c r="CA64" s="22">
        <v>0</v>
      </c>
      <c r="CB64" s="22">
        <v>0</v>
      </c>
      <c r="CC64" s="22">
        <v>1</v>
      </c>
      <c r="CD64" s="22">
        <v>0</v>
      </c>
      <c r="CE64" s="22">
        <v>1</v>
      </c>
      <c r="CF64" s="22">
        <f t="shared" si="31"/>
        <v>2</v>
      </c>
      <c r="CG64" s="22">
        <v>1</v>
      </c>
      <c r="CH64" s="22">
        <v>1</v>
      </c>
      <c r="CI64" s="23">
        <v>0</v>
      </c>
      <c r="CJ64" s="23">
        <v>0</v>
      </c>
      <c r="CK64" s="23">
        <v>0</v>
      </c>
      <c r="CL64" s="23">
        <v>0</v>
      </c>
      <c r="CM64" s="23">
        <v>5</v>
      </c>
      <c r="CN64" s="23" t="s">
        <v>219</v>
      </c>
      <c r="CO64" s="18" t="s">
        <v>224</v>
      </c>
      <c r="CP64" s="18" t="s">
        <v>499</v>
      </c>
      <c r="CQ64" s="18">
        <v>180</v>
      </c>
      <c r="CR64" s="18">
        <v>1200</v>
      </c>
      <c r="CS64" s="18" t="s">
        <v>225</v>
      </c>
      <c r="CT64" s="18" t="s">
        <v>207</v>
      </c>
      <c r="CU64" s="17">
        <f>BI64</f>
        <v>2390</v>
      </c>
      <c r="CV64" s="18" t="s">
        <v>209</v>
      </c>
      <c r="CW64" s="17">
        <v>3000</v>
      </c>
      <c r="CX64" s="21">
        <v>1</v>
      </c>
      <c r="CY64" s="17">
        <v>3000</v>
      </c>
      <c r="DB64" s="17">
        <v>1</v>
      </c>
      <c r="DC64" s="17">
        <v>1</v>
      </c>
      <c r="DD64" s="17">
        <v>3</v>
      </c>
      <c r="DE64" s="17">
        <v>100</v>
      </c>
      <c r="DF64" s="17">
        <v>14</v>
      </c>
      <c r="DG64" s="21">
        <v>6.33</v>
      </c>
      <c r="DH64" s="18">
        <v>3.97</v>
      </c>
      <c r="DI64" s="18">
        <v>122</v>
      </c>
      <c r="DJ64" s="18">
        <v>34.299999999999997</v>
      </c>
      <c r="DK64" s="17">
        <v>275</v>
      </c>
      <c r="DL64" s="21">
        <v>12</v>
      </c>
      <c r="DM64" s="21">
        <v>55</v>
      </c>
      <c r="DN64" s="18"/>
      <c r="DO64" s="18"/>
      <c r="DP64" s="21">
        <v>7</v>
      </c>
      <c r="DQ64" s="18">
        <v>0.87</v>
      </c>
      <c r="DR64" s="18">
        <v>114</v>
      </c>
      <c r="DY64" s="18">
        <v>133</v>
      </c>
      <c r="DZ64" s="18">
        <v>3.2</v>
      </c>
      <c r="EA64" s="18">
        <v>108</v>
      </c>
      <c r="EB64" s="18"/>
      <c r="EC64" s="18"/>
      <c r="ED64" s="17">
        <v>1016</v>
      </c>
      <c r="EE64" s="18">
        <v>7.39</v>
      </c>
      <c r="EF64" s="18">
        <v>25</v>
      </c>
      <c r="EG64" s="18">
        <v>144</v>
      </c>
      <c r="EH64" s="18">
        <v>14</v>
      </c>
      <c r="EI64" s="18">
        <f>EG64/EJ64</f>
        <v>480</v>
      </c>
      <c r="EJ64" s="18">
        <v>0.3</v>
      </c>
      <c r="EL64" s="18"/>
      <c r="EM64" s="18">
        <v>13</v>
      </c>
      <c r="EN64" s="22">
        <v>9</v>
      </c>
      <c r="EO64" s="22">
        <v>9.9481411429015392</v>
      </c>
      <c r="EP64" s="18">
        <f t="shared" si="32"/>
        <v>1</v>
      </c>
      <c r="EQ64" s="18">
        <f t="shared" si="33"/>
        <v>0</v>
      </c>
      <c r="ER64" s="18">
        <f t="shared" si="34"/>
        <v>0</v>
      </c>
      <c r="ES64" s="18">
        <f t="shared" si="35"/>
        <v>1</v>
      </c>
      <c r="ET64" s="22">
        <v>0</v>
      </c>
      <c r="EU64" s="22">
        <v>0</v>
      </c>
      <c r="EV64" s="22">
        <v>0</v>
      </c>
      <c r="EW64" s="22">
        <v>0</v>
      </c>
      <c r="EX64" s="22">
        <v>1</v>
      </c>
      <c r="EY64" s="22">
        <f t="shared" si="36"/>
        <v>1</v>
      </c>
      <c r="EZ64" s="22">
        <v>1</v>
      </c>
      <c r="FA64" s="18" t="s">
        <v>226</v>
      </c>
      <c r="FB64" s="18" t="s">
        <v>209</v>
      </c>
      <c r="FC64" s="18">
        <v>7.2</v>
      </c>
      <c r="FD64" s="18">
        <v>117</v>
      </c>
      <c r="FE64" s="18">
        <v>32</v>
      </c>
      <c r="FF64" s="18">
        <v>88</v>
      </c>
      <c r="FG64" s="18">
        <v>17</v>
      </c>
      <c r="FH64" s="18">
        <v>36</v>
      </c>
      <c r="FI64" s="18">
        <v>140</v>
      </c>
      <c r="FJ64" s="18">
        <v>2.5</v>
      </c>
      <c r="FK64" s="18">
        <v>5</v>
      </c>
      <c r="FL64" s="18">
        <v>0.36</v>
      </c>
      <c r="FM64" s="18">
        <v>133</v>
      </c>
      <c r="FN64" s="18">
        <v>137</v>
      </c>
      <c r="FO64" s="18">
        <v>2.2999999999999998</v>
      </c>
      <c r="FP64" s="18">
        <v>102</v>
      </c>
      <c r="FQ64" s="18"/>
      <c r="FR64" s="18"/>
      <c r="FS64" s="18">
        <v>510</v>
      </c>
      <c r="FT64" s="18">
        <v>7.4</v>
      </c>
      <c r="FU64" s="18">
        <v>35</v>
      </c>
      <c r="FV64" s="18">
        <v>140</v>
      </c>
      <c r="FW64" s="18">
        <v>27</v>
      </c>
      <c r="FX64" s="18">
        <v>0.4</v>
      </c>
      <c r="FY64" s="18">
        <v>350</v>
      </c>
      <c r="FZ64" s="18"/>
      <c r="GA64" s="18">
        <v>15</v>
      </c>
      <c r="GB64" s="22">
        <v>1</v>
      </c>
      <c r="GC64" s="22">
        <v>8</v>
      </c>
      <c r="GD64" s="22">
        <v>0</v>
      </c>
      <c r="GE64" s="22">
        <v>8.7145290593121416</v>
      </c>
      <c r="GF64" s="18">
        <f t="shared" si="37"/>
        <v>0.78661087866108792</v>
      </c>
      <c r="GG64" s="17">
        <f>BI64-FS64</f>
        <v>1880</v>
      </c>
      <c r="GH64" s="17">
        <f t="shared" si="38"/>
        <v>1</v>
      </c>
      <c r="GI64" s="17">
        <f t="shared" si="23"/>
        <v>6</v>
      </c>
      <c r="GJ64" s="18">
        <f>ED64-FS64</f>
        <v>506</v>
      </c>
      <c r="GK64" s="24">
        <f>GJ64/ED64</f>
        <v>0.49803149606299213</v>
      </c>
    </row>
    <row r="65" spans="1:193" ht="18" customHeight="1" x14ac:dyDescent="0.45">
      <c r="A65" s="14">
        <v>63</v>
      </c>
      <c r="B65" s="35">
        <v>2220065327</v>
      </c>
      <c r="C65" s="15" t="s">
        <v>360</v>
      </c>
      <c r="D65" s="16">
        <v>1</v>
      </c>
      <c r="E65" s="17">
        <v>1976</v>
      </c>
      <c r="F65" s="17">
        <f t="shared" si="24"/>
        <v>47</v>
      </c>
      <c r="G65" s="18" t="s">
        <v>237</v>
      </c>
      <c r="H65" s="18" t="s">
        <v>286</v>
      </c>
      <c r="I65" s="17">
        <v>1</v>
      </c>
      <c r="J65" s="18">
        <f t="shared" si="25"/>
        <v>2.88</v>
      </c>
      <c r="K65" s="17">
        <v>60</v>
      </c>
      <c r="L65" s="17">
        <v>164</v>
      </c>
      <c r="M65" s="18">
        <f t="shared" si="41"/>
        <v>22.308149910767405</v>
      </c>
      <c r="N65" s="17">
        <v>0</v>
      </c>
      <c r="O65" s="17">
        <v>1</v>
      </c>
      <c r="P65" s="17">
        <v>0</v>
      </c>
      <c r="Q65" s="17">
        <v>0</v>
      </c>
      <c r="R65" s="17">
        <v>0</v>
      </c>
      <c r="S65" s="17">
        <v>0</v>
      </c>
      <c r="T65" s="17">
        <v>1</v>
      </c>
      <c r="U65" s="17">
        <v>2</v>
      </c>
      <c r="V65" s="19" t="s">
        <v>318</v>
      </c>
      <c r="W65" s="17">
        <v>6</v>
      </c>
      <c r="X65" s="20">
        <v>17</v>
      </c>
      <c r="Y65" s="17">
        <v>1</v>
      </c>
      <c r="Z65" s="17">
        <v>16</v>
      </c>
      <c r="AA65" s="17">
        <v>110</v>
      </c>
      <c r="AB65" s="17">
        <v>110</v>
      </c>
      <c r="AC65" s="17">
        <v>80</v>
      </c>
      <c r="AD65" s="18">
        <f t="shared" si="26"/>
        <v>90</v>
      </c>
      <c r="AE65" s="18">
        <v>18</v>
      </c>
      <c r="AF65" s="17">
        <v>37</v>
      </c>
      <c r="AG65" s="17">
        <v>1</v>
      </c>
      <c r="AH65" s="17">
        <v>0</v>
      </c>
      <c r="AI65" s="17">
        <v>0</v>
      </c>
      <c r="AJ65" s="17">
        <v>15</v>
      </c>
      <c r="AK65" s="18">
        <v>8.4</v>
      </c>
      <c r="AL65" s="18">
        <v>4.0999999999999996</v>
      </c>
      <c r="AM65" s="18">
        <v>122</v>
      </c>
      <c r="AN65" s="18">
        <v>34</v>
      </c>
      <c r="AO65" s="18">
        <v>184</v>
      </c>
      <c r="AP65" s="18">
        <v>18</v>
      </c>
      <c r="AQ65" s="18">
        <v>65</v>
      </c>
      <c r="AR65" s="18">
        <v>3.5</v>
      </c>
      <c r="AT65" s="18"/>
      <c r="AX65" s="17">
        <v>5</v>
      </c>
      <c r="AY65" s="18">
        <v>0.54</v>
      </c>
      <c r="BA65" s="5">
        <v>0.36</v>
      </c>
      <c r="BB65" s="5">
        <v>0.23</v>
      </c>
      <c r="BC65" s="21">
        <v>114</v>
      </c>
      <c r="BD65" s="17">
        <v>128</v>
      </c>
      <c r="BE65" s="21">
        <v>3.8</v>
      </c>
      <c r="BF65" s="17">
        <v>102</v>
      </c>
      <c r="BG65" s="17">
        <v>582</v>
      </c>
      <c r="BI65" s="17">
        <v>1334</v>
      </c>
      <c r="BJ65" s="17">
        <v>281</v>
      </c>
      <c r="BK65" s="18"/>
      <c r="BL65" s="18"/>
      <c r="BM65" s="18">
        <v>7.22</v>
      </c>
      <c r="BN65" s="17">
        <v>32</v>
      </c>
      <c r="BO65" s="17">
        <v>65</v>
      </c>
      <c r="BP65" s="21">
        <v>13</v>
      </c>
      <c r="BQ65" s="21">
        <f>BO65/BR65</f>
        <v>110.16949152542374</v>
      </c>
      <c r="BR65" s="18">
        <v>0.59</v>
      </c>
      <c r="BS65" s="10">
        <v>1.84</v>
      </c>
      <c r="BU65" s="20">
        <v>17</v>
      </c>
      <c r="BV65" s="22">
        <v>26.21158988083651</v>
      </c>
      <c r="BW65" s="18">
        <f t="shared" si="27"/>
        <v>1</v>
      </c>
      <c r="BX65" s="18">
        <f t="shared" si="28"/>
        <v>0</v>
      </c>
      <c r="BY65" s="18">
        <f t="shared" si="29"/>
        <v>0</v>
      </c>
      <c r="BZ65" s="18">
        <f t="shared" si="30"/>
        <v>1</v>
      </c>
      <c r="CA65" s="22">
        <v>0</v>
      </c>
      <c r="CB65" s="22">
        <v>0</v>
      </c>
      <c r="CC65" s="22">
        <v>0</v>
      </c>
      <c r="CD65" s="22">
        <v>0</v>
      </c>
      <c r="CE65" s="22">
        <v>1</v>
      </c>
      <c r="CF65" s="22">
        <f t="shared" si="31"/>
        <v>1</v>
      </c>
      <c r="CG65" s="22">
        <v>1</v>
      </c>
      <c r="CH65" s="22">
        <v>3</v>
      </c>
      <c r="CI65" s="23">
        <v>0</v>
      </c>
      <c r="CJ65" s="23">
        <v>0</v>
      </c>
      <c r="CK65" s="23">
        <v>1</v>
      </c>
      <c r="CL65" s="23">
        <v>0</v>
      </c>
      <c r="CM65" s="23">
        <v>6</v>
      </c>
      <c r="CN65" s="23" t="s">
        <v>203</v>
      </c>
      <c r="CO65" s="18" t="s">
        <v>319</v>
      </c>
      <c r="CP65" s="18" t="s">
        <v>499</v>
      </c>
      <c r="CQ65" s="18">
        <v>180</v>
      </c>
      <c r="CR65" s="18">
        <v>1200</v>
      </c>
      <c r="CS65" s="18" t="s">
        <v>236</v>
      </c>
      <c r="CT65" s="18" t="s">
        <v>207</v>
      </c>
      <c r="CU65" s="17">
        <f>BI65</f>
        <v>1334</v>
      </c>
      <c r="CV65" s="18" t="s">
        <v>208</v>
      </c>
      <c r="CW65" s="17">
        <v>1600</v>
      </c>
      <c r="CX65" s="21">
        <v>1.5</v>
      </c>
      <c r="CY65" s="17">
        <v>2500</v>
      </c>
      <c r="DB65" s="17">
        <v>1</v>
      </c>
      <c r="DC65" s="17">
        <v>1</v>
      </c>
      <c r="DD65" s="17">
        <v>3</v>
      </c>
      <c r="DE65" s="17">
        <v>90</v>
      </c>
      <c r="DF65" s="17">
        <v>14</v>
      </c>
      <c r="DG65" s="21">
        <v>8.6</v>
      </c>
      <c r="DH65" s="18">
        <v>4.3</v>
      </c>
      <c r="DI65" s="18">
        <v>126</v>
      </c>
      <c r="DJ65" s="18">
        <v>35</v>
      </c>
      <c r="DK65" s="17">
        <v>131</v>
      </c>
      <c r="DL65" s="21">
        <v>17</v>
      </c>
      <c r="DM65" s="21">
        <v>54</v>
      </c>
      <c r="DN65" s="18"/>
      <c r="DO65" s="18">
        <v>4.7</v>
      </c>
      <c r="DP65" s="21">
        <v>13</v>
      </c>
      <c r="DQ65" s="18">
        <v>0.34</v>
      </c>
      <c r="DR65" s="18">
        <v>120</v>
      </c>
      <c r="DY65" s="18">
        <v>132</v>
      </c>
      <c r="DZ65" s="18">
        <v>3.54</v>
      </c>
      <c r="EA65" s="18">
        <v>102</v>
      </c>
      <c r="EB65" s="18">
        <v>252</v>
      </c>
      <c r="EC65" s="18">
        <v>210</v>
      </c>
      <c r="ED65" s="17">
        <v>396</v>
      </c>
      <c r="EE65" s="18">
        <v>7.29</v>
      </c>
      <c r="EF65" s="18">
        <v>40</v>
      </c>
      <c r="EG65" s="18">
        <v>71</v>
      </c>
      <c r="EH65" s="18">
        <v>27</v>
      </c>
      <c r="EI65" s="18">
        <f>EG65/0.21</f>
        <v>338.09523809523813</v>
      </c>
      <c r="EJ65" s="18">
        <f t="shared" ref="EJ65:EJ81" si="44">EG65/EI65</f>
        <v>0.20999999999999996</v>
      </c>
      <c r="EL65" s="18"/>
      <c r="EM65" s="18">
        <v>15</v>
      </c>
      <c r="EN65" s="22">
        <v>8</v>
      </c>
      <c r="EO65" s="22">
        <v>8.7145290593121416</v>
      </c>
      <c r="EP65" s="18">
        <f t="shared" si="32"/>
        <v>1</v>
      </c>
      <c r="EQ65" s="18">
        <f t="shared" si="33"/>
        <v>0</v>
      </c>
      <c r="ER65" s="18">
        <f t="shared" si="34"/>
        <v>0</v>
      </c>
      <c r="ES65" s="18">
        <f t="shared" si="35"/>
        <v>1</v>
      </c>
      <c r="ET65" s="22">
        <v>0</v>
      </c>
      <c r="EU65" s="22">
        <v>0</v>
      </c>
      <c r="EV65" s="22">
        <v>0</v>
      </c>
      <c r="EW65" s="22">
        <v>0</v>
      </c>
      <c r="EX65" s="22">
        <v>1</v>
      </c>
      <c r="EY65" s="22">
        <f t="shared" si="36"/>
        <v>1</v>
      </c>
      <c r="EZ65" s="22">
        <v>3</v>
      </c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7">
        <v>396</v>
      </c>
      <c r="FT65" s="18"/>
      <c r="FU65" s="18"/>
      <c r="FV65" s="18"/>
      <c r="FW65" s="18"/>
      <c r="FX65" s="18"/>
      <c r="FY65" s="18"/>
      <c r="FZ65" s="18"/>
      <c r="GA65" s="18"/>
      <c r="GB65" s="22">
        <v>3</v>
      </c>
      <c r="GC65" s="22">
        <v>8</v>
      </c>
      <c r="GD65" s="22">
        <v>0</v>
      </c>
      <c r="GE65" s="18"/>
      <c r="GF65" s="18">
        <f t="shared" si="37"/>
        <v>0.70314842578710646</v>
      </c>
      <c r="GG65" s="17">
        <f>BI65-FS65</f>
        <v>938</v>
      </c>
      <c r="GH65" s="17">
        <f t="shared" si="38"/>
        <v>0</v>
      </c>
      <c r="GI65" s="17">
        <f t="shared" si="23"/>
        <v>9</v>
      </c>
    </row>
    <row r="66" spans="1:193" ht="18" customHeight="1" x14ac:dyDescent="0.45">
      <c r="A66" s="14">
        <v>64</v>
      </c>
      <c r="B66" s="35" t="s">
        <v>408</v>
      </c>
      <c r="C66" s="15" t="s">
        <v>409</v>
      </c>
      <c r="D66" s="16">
        <v>1</v>
      </c>
      <c r="E66" s="17">
        <v>1976</v>
      </c>
      <c r="F66" s="17">
        <f t="shared" si="24"/>
        <v>47</v>
      </c>
      <c r="G66" s="18" t="s">
        <v>237</v>
      </c>
      <c r="H66" s="18" t="s">
        <v>293</v>
      </c>
      <c r="I66" s="17">
        <v>0</v>
      </c>
      <c r="J66" s="18">
        <f t="shared" si="25"/>
        <v>3.0720000000000001</v>
      </c>
      <c r="K66" s="17">
        <v>64</v>
      </c>
      <c r="L66" s="17">
        <v>165</v>
      </c>
      <c r="M66" s="18">
        <f t="shared" si="41"/>
        <v>23.507805325987146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1</v>
      </c>
      <c r="U66" s="17">
        <v>1</v>
      </c>
      <c r="V66" s="19" t="s">
        <v>294</v>
      </c>
      <c r="W66" s="17">
        <v>72</v>
      </c>
      <c r="X66" s="20">
        <v>21</v>
      </c>
      <c r="Y66" s="17">
        <v>1</v>
      </c>
      <c r="Z66" s="17">
        <v>8</v>
      </c>
      <c r="AA66" s="17">
        <v>110</v>
      </c>
      <c r="AB66" s="17">
        <v>90</v>
      </c>
      <c r="AC66" s="17">
        <v>60</v>
      </c>
      <c r="AD66" s="18">
        <f t="shared" si="26"/>
        <v>70</v>
      </c>
      <c r="AE66" s="18">
        <v>18</v>
      </c>
      <c r="AF66" s="17">
        <v>37</v>
      </c>
      <c r="AG66" s="17">
        <v>1</v>
      </c>
      <c r="AH66" s="17">
        <v>0</v>
      </c>
      <c r="AI66" s="17">
        <v>0</v>
      </c>
      <c r="AJ66" s="17">
        <v>13</v>
      </c>
      <c r="AK66" s="18">
        <v>16</v>
      </c>
      <c r="AL66" s="18">
        <v>5.3</v>
      </c>
      <c r="AM66" s="18">
        <v>174</v>
      </c>
      <c r="AN66" s="18">
        <v>48</v>
      </c>
      <c r="AO66" s="18">
        <v>168</v>
      </c>
      <c r="AP66" s="18">
        <v>14</v>
      </c>
      <c r="AQ66" s="18">
        <v>40</v>
      </c>
      <c r="AR66" s="18">
        <v>4</v>
      </c>
      <c r="AT66" s="18"/>
      <c r="AX66" s="17">
        <v>16</v>
      </c>
      <c r="AY66" s="18">
        <v>2.1</v>
      </c>
      <c r="BA66" s="5">
        <v>1.3</v>
      </c>
      <c r="BB66" s="5">
        <v>0.6</v>
      </c>
      <c r="BC66" s="21">
        <v>37</v>
      </c>
      <c r="BD66" s="17">
        <v>117</v>
      </c>
      <c r="BE66" s="21">
        <v>4.7</v>
      </c>
      <c r="BF66" s="17">
        <v>89</v>
      </c>
      <c r="BG66" s="17">
        <v>267</v>
      </c>
      <c r="BH66" s="17">
        <v>357</v>
      </c>
      <c r="BI66" s="17">
        <v>2700</v>
      </c>
      <c r="BJ66" s="17">
        <v>184</v>
      </c>
      <c r="BK66" s="18"/>
      <c r="BL66" s="18"/>
      <c r="BM66" s="18">
        <v>7.4</v>
      </c>
      <c r="BN66" s="17">
        <v>22</v>
      </c>
      <c r="BO66" s="17">
        <v>71</v>
      </c>
      <c r="BP66" s="21">
        <v>14</v>
      </c>
      <c r="BQ66" s="21">
        <v>400</v>
      </c>
      <c r="BR66" s="18"/>
      <c r="BU66" s="20">
        <v>21</v>
      </c>
      <c r="BV66" s="22">
        <v>38.912303341323486</v>
      </c>
      <c r="BW66" s="18">
        <f t="shared" si="27"/>
        <v>1</v>
      </c>
      <c r="BX66" s="18">
        <f t="shared" si="28"/>
        <v>0</v>
      </c>
      <c r="BY66" s="18">
        <f t="shared" si="29"/>
        <v>0</v>
      </c>
      <c r="BZ66" s="18">
        <f t="shared" si="30"/>
        <v>1</v>
      </c>
      <c r="CA66" s="22">
        <v>0</v>
      </c>
      <c r="CB66" s="22">
        <v>0</v>
      </c>
      <c r="CC66" s="22">
        <v>1</v>
      </c>
      <c r="CD66" s="22">
        <v>0</v>
      </c>
      <c r="CE66" s="22">
        <v>1</v>
      </c>
      <c r="CF66" s="22">
        <f t="shared" si="31"/>
        <v>2</v>
      </c>
      <c r="CG66" s="22">
        <v>0</v>
      </c>
      <c r="CH66" s="22">
        <v>4</v>
      </c>
      <c r="CI66" s="23">
        <v>0</v>
      </c>
      <c r="CJ66" s="23">
        <v>1</v>
      </c>
      <c r="CK66" s="23">
        <v>0</v>
      </c>
      <c r="CL66" s="23">
        <v>0</v>
      </c>
      <c r="CM66" s="23">
        <v>4</v>
      </c>
      <c r="CN66" s="23" t="s">
        <v>203</v>
      </c>
      <c r="CO66" s="18" t="s">
        <v>295</v>
      </c>
      <c r="CP66" s="18" t="s">
        <v>205</v>
      </c>
      <c r="CQ66" s="18">
        <v>200</v>
      </c>
      <c r="CR66" s="18">
        <v>1500</v>
      </c>
      <c r="CS66" s="18" t="s">
        <v>206</v>
      </c>
      <c r="CT66" s="18" t="s">
        <v>207</v>
      </c>
      <c r="CU66" s="17">
        <f>BI66</f>
        <v>2700</v>
      </c>
      <c r="CV66" s="18" t="s">
        <v>209</v>
      </c>
      <c r="CW66" s="17">
        <v>2400</v>
      </c>
      <c r="CX66" s="21">
        <v>1.5</v>
      </c>
      <c r="CY66" s="17">
        <v>3600</v>
      </c>
      <c r="DB66" s="17">
        <v>1</v>
      </c>
      <c r="DC66" s="17">
        <v>2</v>
      </c>
      <c r="DD66" s="17">
        <v>3</v>
      </c>
      <c r="DE66" s="17">
        <v>100</v>
      </c>
      <c r="DF66" s="17">
        <v>16</v>
      </c>
      <c r="DG66" s="21">
        <v>12</v>
      </c>
      <c r="DH66" s="18">
        <v>4.5999999999999996</v>
      </c>
      <c r="DI66" s="18">
        <v>148</v>
      </c>
      <c r="DJ66" s="18">
        <v>41</v>
      </c>
      <c r="DK66" s="17">
        <v>139</v>
      </c>
      <c r="DL66" s="21">
        <v>25</v>
      </c>
      <c r="DM66" s="21">
        <v>60</v>
      </c>
      <c r="DN66" s="18"/>
      <c r="DO66" s="18">
        <v>2.7</v>
      </c>
      <c r="DP66" s="21">
        <v>17</v>
      </c>
      <c r="DQ66" s="18">
        <v>1.9</v>
      </c>
      <c r="DR66" s="18">
        <v>42</v>
      </c>
      <c r="DY66" s="18">
        <v>134</v>
      </c>
      <c r="DZ66" s="18">
        <v>3.2</v>
      </c>
      <c r="EA66" s="18">
        <v>104</v>
      </c>
      <c r="EB66" s="18"/>
      <c r="EC66" s="18">
        <v>142</v>
      </c>
      <c r="ED66" s="17">
        <v>321</v>
      </c>
      <c r="EE66" s="18">
        <v>7.39</v>
      </c>
      <c r="EF66" s="18">
        <v>27</v>
      </c>
      <c r="EG66" s="18">
        <v>70</v>
      </c>
      <c r="EH66" s="18">
        <v>16</v>
      </c>
      <c r="EI66" s="18">
        <f>EG66/0.21</f>
        <v>333.33333333333337</v>
      </c>
      <c r="EJ66" s="18">
        <f t="shared" si="44"/>
        <v>0.20999999999999996</v>
      </c>
      <c r="EL66" s="18"/>
      <c r="EM66" s="18">
        <v>14</v>
      </c>
      <c r="EN66" s="22">
        <v>12</v>
      </c>
      <c r="EO66" s="22">
        <v>14.616523039738205</v>
      </c>
      <c r="EP66" s="18">
        <f t="shared" si="32"/>
        <v>1</v>
      </c>
      <c r="EQ66" s="18">
        <f t="shared" si="33"/>
        <v>0</v>
      </c>
      <c r="ER66" s="18">
        <f t="shared" si="34"/>
        <v>0</v>
      </c>
      <c r="ES66" s="18">
        <f t="shared" si="35"/>
        <v>1</v>
      </c>
      <c r="ET66" s="22">
        <v>0</v>
      </c>
      <c r="EU66" s="22">
        <v>0</v>
      </c>
      <c r="EV66" s="22">
        <v>1</v>
      </c>
      <c r="EW66" s="22">
        <v>0</v>
      </c>
      <c r="EX66" s="22">
        <v>1</v>
      </c>
      <c r="EY66" s="22">
        <f t="shared" si="36"/>
        <v>2</v>
      </c>
      <c r="EZ66" s="22">
        <v>3</v>
      </c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7">
        <v>321</v>
      </c>
      <c r="FT66" s="18"/>
      <c r="FU66" s="18"/>
      <c r="FV66" s="18"/>
      <c r="FW66" s="18"/>
      <c r="FX66" s="18"/>
      <c r="FY66" s="18"/>
      <c r="FZ66" s="18"/>
      <c r="GA66" s="18"/>
      <c r="GB66" s="22">
        <v>3</v>
      </c>
      <c r="GC66" s="22">
        <v>12</v>
      </c>
      <c r="GD66" s="22">
        <v>0</v>
      </c>
      <c r="GE66" s="18"/>
      <c r="GF66" s="18">
        <f t="shared" si="37"/>
        <v>0.88111111111111107</v>
      </c>
      <c r="GG66" s="17">
        <f>BI66-ED66</f>
        <v>2379</v>
      </c>
      <c r="GH66" s="17">
        <f t="shared" si="38"/>
        <v>0</v>
      </c>
      <c r="GI66" s="17">
        <f t="shared" ref="GI66:GI95" si="45">BU66-GC66</f>
        <v>9</v>
      </c>
    </row>
    <row r="67" spans="1:193" ht="18" customHeight="1" x14ac:dyDescent="0.45">
      <c r="A67" s="14">
        <v>65</v>
      </c>
      <c r="B67" s="35">
        <v>2220117071</v>
      </c>
      <c r="C67" s="15" t="s">
        <v>339</v>
      </c>
      <c r="D67" s="16">
        <v>0</v>
      </c>
      <c r="E67" s="17">
        <v>1973</v>
      </c>
      <c r="F67" s="17">
        <f t="shared" ref="F67:F95" si="46">(2023-E67)</f>
        <v>50</v>
      </c>
      <c r="G67" s="18" t="s">
        <v>237</v>
      </c>
      <c r="H67" s="18" t="s">
        <v>301</v>
      </c>
      <c r="I67" s="17">
        <v>0</v>
      </c>
      <c r="J67" s="18">
        <f t="shared" ref="J67:J95" si="47">K67*2*24/1000</f>
        <v>3.6</v>
      </c>
      <c r="K67" s="17">
        <v>75</v>
      </c>
      <c r="L67" s="17">
        <v>172</v>
      </c>
      <c r="M67" s="18">
        <f t="shared" si="41"/>
        <v>25.351541373715524</v>
      </c>
      <c r="N67" s="17">
        <v>0</v>
      </c>
      <c r="O67" s="17">
        <v>0</v>
      </c>
      <c r="P67" s="17">
        <v>0</v>
      </c>
      <c r="Q67" s="17">
        <v>0</v>
      </c>
      <c r="R67" s="17">
        <v>1</v>
      </c>
      <c r="S67" s="17">
        <v>0</v>
      </c>
      <c r="T67" s="17">
        <v>1</v>
      </c>
      <c r="U67" s="17">
        <v>2</v>
      </c>
      <c r="V67" s="19">
        <v>44093</v>
      </c>
      <c r="W67" s="17">
        <v>48</v>
      </c>
      <c r="X67" s="20">
        <v>11</v>
      </c>
      <c r="Y67" s="17">
        <v>1</v>
      </c>
      <c r="Z67" s="17">
        <v>7</v>
      </c>
      <c r="AA67" s="17">
        <v>90</v>
      </c>
      <c r="AB67" s="17">
        <v>130</v>
      </c>
      <c r="AC67" s="17">
        <v>80</v>
      </c>
      <c r="AD67" s="18">
        <f t="shared" ref="AD67:AD95" si="48">AC67+1/3*(AB67-AC67)</f>
        <v>96.666666666666657</v>
      </c>
      <c r="AE67" s="18">
        <v>20</v>
      </c>
      <c r="AF67" s="17">
        <v>37</v>
      </c>
      <c r="AG67" s="17">
        <v>1</v>
      </c>
      <c r="AH67" s="17">
        <v>1</v>
      </c>
      <c r="AI67" s="17">
        <v>0</v>
      </c>
      <c r="AJ67" s="17">
        <v>12</v>
      </c>
      <c r="AK67" s="18">
        <v>7.05</v>
      </c>
      <c r="AL67" s="18">
        <v>5.69</v>
      </c>
      <c r="AM67" s="18">
        <v>177</v>
      </c>
      <c r="AN67" s="18">
        <v>50.2</v>
      </c>
      <c r="AO67" s="18">
        <v>117</v>
      </c>
      <c r="AP67" s="18">
        <v>13.5</v>
      </c>
      <c r="AQ67" s="18">
        <v>22.3</v>
      </c>
      <c r="AR67" s="18">
        <v>5.8</v>
      </c>
      <c r="AT67" s="18"/>
      <c r="AX67" s="17">
        <v>22</v>
      </c>
      <c r="AY67" s="18">
        <v>1.38</v>
      </c>
      <c r="BA67" s="5">
        <v>1.08</v>
      </c>
      <c r="BB67" s="5">
        <v>0.14000000000000001</v>
      </c>
      <c r="BC67" s="21">
        <v>60.45</v>
      </c>
      <c r="BD67" s="17">
        <v>127</v>
      </c>
      <c r="BE67" s="21">
        <v>4.0999999999999996</v>
      </c>
      <c r="BF67" s="17">
        <v>97</v>
      </c>
      <c r="BH67" s="17">
        <v>1083</v>
      </c>
      <c r="BI67" s="17">
        <v>1423</v>
      </c>
      <c r="BJ67" s="17">
        <v>286</v>
      </c>
      <c r="BK67" s="18">
        <v>8.1999999999999993</v>
      </c>
      <c r="BL67" s="18">
        <v>0</v>
      </c>
      <c r="BM67" s="18">
        <v>7.38</v>
      </c>
      <c r="BN67" s="17">
        <v>30.7</v>
      </c>
      <c r="BO67" s="17">
        <v>79.8</v>
      </c>
      <c r="BP67" s="21">
        <v>18.3</v>
      </c>
      <c r="BQ67" s="21">
        <v>400</v>
      </c>
      <c r="BR67" s="18"/>
      <c r="BS67" s="10">
        <v>1.74</v>
      </c>
      <c r="BT67" s="18">
        <v>1.8</v>
      </c>
      <c r="BU67" s="20">
        <v>11</v>
      </c>
      <c r="BV67" s="22">
        <v>12.886854903027482</v>
      </c>
      <c r="BW67" s="18">
        <f t="shared" ref="BW67:BW95" si="49">IF(AA67&gt;=90, 1, 0)</f>
        <v>1</v>
      </c>
      <c r="BX67" s="18">
        <f t="shared" ref="BX67:BX95" si="50">IF(AE67&gt;=21, 1, 0)</f>
        <v>0</v>
      </c>
      <c r="BY67" s="18">
        <f t="shared" ref="BY67:BY95" si="51">IF(AX67&gt;=28, 1, 0)</f>
        <v>0</v>
      </c>
      <c r="BZ67" s="18">
        <f t="shared" ref="BZ67:BZ95" si="52">SUM(BW67:BY67)</f>
        <v>1</v>
      </c>
      <c r="CA67" s="22">
        <v>0</v>
      </c>
      <c r="CB67" s="22">
        <v>1</v>
      </c>
      <c r="CC67" s="22">
        <v>0</v>
      </c>
      <c r="CD67" s="22">
        <v>0</v>
      </c>
      <c r="CE67" s="22">
        <v>0</v>
      </c>
      <c r="CF67" s="22">
        <f t="shared" ref="CF67:CF95" si="53">SUM(CA67:CE67)</f>
        <v>1</v>
      </c>
      <c r="CG67" s="22">
        <v>1</v>
      </c>
      <c r="CH67" s="22">
        <v>4</v>
      </c>
      <c r="CI67" s="23">
        <v>0</v>
      </c>
      <c r="CJ67" s="23">
        <v>1</v>
      </c>
      <c r="CK67" s="23">
        <v>0</v>
      </c>
      <c r="CL67" s="23">
        <v>0</v>
      </c>
      <c r="CM67" s="23">
        <v>3</v>
      </c>
      <c r="CN67" s="23" t="s">
        <v>219</v>
      </c>
      <c r="CO67" s="18" t="s">
        <v>438</v>
      </c>
      <c r="CP67" s="18" t="s">
        <v>205</v>
      </c>
      <c r="CQ67" s="18">
        <v>180</v>
      </c>
      <c r="CR67" s="18">
        <v>1500</v>
      </c>
      <c r="CS67" s="18" t="s">
        <v>206</v>
      </c>
      <c r="CT67" s="18" t="s">
        <v>207</v>
      </c>
      <c r="CU67" s="17">
        <f>BI67</f>
        <v>1423</v>
      </c>
      <c r="CV67" s="18" t="s">
        <v>209</v>
      </c>
      <c r="CW67" s="17">
        <v>2450</v>
      </c>
      <c r="CX67" s="21">
        <v>1.5</v>
      </c>
      <c r="CY67" s="17">
        <v>3675</v>
      </c>
      <c r="DB67" s="17">
        <v>1</v>
      </c>
      <c r="DC67" s="17">
        <v>1</v>
      </c>
      <c r="DD67" s="17">
        <v>3</v>
      </c>
      <c r="DE67" s="17">
        <v>70</v>
      </c>
      <c r="DF67" s="17">
        <v>16</v>
      </c>
      <c r="DG67" s="21">
        <v>6.87</v>
      </c>
      <c r="DH67" s="18">
        <v>5.04</v>
      </c>
      <c r="DI67" s="18">
        <v>158</v>
      </c>
      <c r="DJ67" s="18">
        <v>46.4</v>
      </c>
      <c r="DK67" s="17">
        <v>87</v>
      </c>
      <c r="DL67" s="21">
        <v>16.7</v>
      </c>
      <c r="DM67" s="21">
        <v>70.900000000000006</v>
      </c>
      <c r="DN67" s="18">
        <v>170</v>
      </c>
      <c r="DO67" s="18">
        <v>1.96</v>
      </c>
      <c r="DP67" s="21">
        <v>13</v>
      </c>
      <c r="DQ67" s="18">
        <v>0.72</v>
      </c>
      <c r="DR67" s="18">
        <v>111.09</v>
      </c>
      <c r="DY67" s="18">
        <v>134</v>
      </c>
      <c r="DZ67" s="18">
        <v>4.2</v>
      </c>
      <c r="EA67" s="18">
        <v>106</v>
      </c>
      <c r="EB67" s="18">
        <v>312</v>
      </c>
      <c r="EC67" s="18">
        <v>247</v>
      </c>
      <c r="ED67" s="17">
        <v>399</v>
      </c>
      <c r="EE67" s="18">
        <v>7.31</v>
      </c>
      <c r="EF67" s="18">
        <v>37.200000000000003</v>
      </c>
      <c r="EG67" s="18">
        <v>73</v>
      </c>
      <c r="EH67" s="18">
        <v>18.399999999999999</v>
      </c>
      <c r="EI67" s="18">
        <f>EG67/0.21</f>
        <v>347.61904761904765</v>
      </c>
      <c r="EJ67" s="18">
        <f t="shared" si="44"/>
        <v>0.21</v>
      </c>
      <c r="EL67" s="18">
        <v>1.8</v>
      </c>
      <c r="EM67" s="18">
        <v>15</v>
      </c>
      <c r="EN67" s="22">
        <v>7</v>
      </c>
      <c r="EO67" s="22">
        <v>7.620944279833977</v>
      </c>
      <c r="EP67" s="18">
        <f t="shared" ref="EP67:EP95" si="54">IF(DE67&gt;=90, 1, 0)</f>
        <v>0</v>
      </c>
      <c r="EQ67" s="18">
        <f t="shared" ref="EQ67:EQ95" si="55">IF(DF67&gt;=21, 1, 0)</f>
        <v>0</v>
      </c>
      <c r="ER67" s="18">
        <f t="shared" ref="ER67:ER95" si="56">IF(DP67&gt;=28, 1, 0)</f>
        <v>0</v>
      </c>
      <c r="ES67" s="18">
        <f t="shared" ref="ES67:ES95" si="57">SUM(EP67:ER67)</f>
        <v>0</v>
      </c>
      <c r="ET67" s="22">
        <v>0</v>
      </c>
      <c r="EU67" s="22">
        <v>0</v>
      </c>
      <c r="EV67" s="22">
        <v>0</v>
      </c>
      <c r="EW67" s="22">
        <v>0</v>
      </c>
      <c r="EX67" s="22">
        <v>0</v>
      </c>
      <c r="EY67" s="22">
        <f t="shared" ref="EY67:EY95" si="58">SUM(ET67:EX67)</f>
        <v>0</v>
      </c>
      <c r="EZ67" s="22">
        <v>4</v>
      </c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7">
        <v>399</v>
      </c>
      <c r="FT67" s="18"/>
      <c r="FU67" s="18"/>
      <c r="FV67" s="18"/>
      <c r="FW67" s="18"/>
      <c r="FX67" s="18"/>
      <c r="FY67" s="18"/>
      <c r="FZ67" s="18"/>
      <c r="GA67" s="18"/>
      <c r="GB67" s="22">
        <v>4</v>
      </c>
      <c r="GC67" s="22">
        <v>7</v>
      </c>
      <c r="GD67" s="22">
        <v>0</v>
      </c>
      <c r="GE67" s="18"/>
      <c r="GF67" s="18">
        <f t="shared" ref="GF67:GF98" si="59">GG67/BI67</f>
        <v>0.71960646521433591</v>
      </c>
      <c r="GG67" s="17">
        <f>BI67-ED67</f>
        <v>1024</v>
      </c>
      <c r="GH67" s="17">
        <f t="shared" ref="GH67:GH95" si="60">CF67-EY67</f>
        <v>1</v>
      </c>
      <c r="GI67" s="17">
        <f t="shared" si="45"/>
        <v>4</v>
      </c>
    </row>
    <row r="68" spans="1:193" ht="18" customHeight="1" x14ac:dyDescent="0.45">
      <c r="A68" s="14">
        <v>66</v>
      </c>
      <c r="B68" s="35">
        <v>2220114799</v>
      </c>
      <c r="C68" s="15" t="s">
        <v>308</v>
      </c>
      <c r="D68" s="16">
        <v>1</v>
      </c>
      <c r="E68" s="17">
        <v>1989</v>
      </c>
      <c r="F68" s="17">
        <f t="shared" si="46"/>
        <v>34</v>
      </c>
      <c r="G68" s="18" t="s">
        <v>200</v>
      </c>
      <c r="H68" s="18" t="s">
        <v>212</v>
      </c>
      <c r="I68" s="17">
        <v>1</v>
      </c>
      <c r="J68" s="18">
        <f t="shared" si="47"/>
        <v>2.4</v>
      </c>
      <c r="K68" s="17">
        <v>50</v>
      </c>
      <c r="L68" s="17">
        <v>165</v>
      </c>
      <c r="M68" s="18">
        <f t="shared" si="41"/>
        <v>18.365472910927458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9" t="s">
        <v>218</v>
      </c>
      <c r="W68" s="17">
        <v>72</v>
      </c>
      <c r="X68" s="20">
        <v>14</v>
      </c>
      <c r="Y68" s="17">
        <v>2</v>
      </c>
      <c r="Z68" s="17">
        <v>6</v>
      </c>
      <c r="AA68" s="17">
        <v>140</v>
      </c>
      <c r="AB68" s="17">
        <v>90</v>
      </c>
      <c r="AC68" s="17">
        <v>60</v>
      </c>
      <c r="AD68" s="18">
        <f t="shared" si="48"/>
        <v>70</v>
      </c>
      <c r="AE68" s="18">
        <v>20</v>
      </c>
      <c r="AF68" s="17">
        <v>37</v>
      </c>
      <c r="AG68" s="17">
        <v>1</v>
      </c>
      <c r="AH68" s="17">
        <v>0</v>
      </c>
      <c r="AI68" s="17">
        <v>0</v>
      </c>
      <c r="AJ68" s="17">
        <v>12</v>
      </c>
      <c r="AK68" s="18">
        <v>10.8</v>
      </c>
      <c r="AL68" s="18">
        <v>2.8</v>
      </c>
      <c r="AM68" s="18">
        <v>101</v>
      </c>
      <c r="AN68" s="18">
        <v>26</v>
      </c>
      <c r="AO68" s="18">
        <v>246</v>
      </c>
      <c r="AP68" s="18">
        <v>26</v>
      </c>
      <c r="AQ68" s="18">
        <v>117</v>
      </c>
      <c r="AR68" s="18"/>
      <c r="AS68" s="21">
        <v>80</v>
      </c>
      <c r="AT68" s="18">
        <v>0.1</v>
      </c>
      <c r="AX68" s="17">
        <v>3</v>
      </c>
      <c r="AY68" s="18">
        <v>0.31</v>
      </c>
      <c r="BA68" s="5">
        <v>1</v>
      </c>
      <c r="BB68" s="5">
        <v>0.24</v>
      </c>
      <c r="BC68" s="21">
        <v>150</v>
      </c>
      <c r="BD68" s="17">
        <v>138</v>
      </c>
      <c r="BE68" s="21">
        <v>3.5</v>
      </c>
      <c r="BF68" s="17">
        <v>108</v>
      </c>
      <c r="BH68" s="17">
        <v>562</v>
      </c>
      <c r="BI68" s="17">
        <v>2126</v>
      </c>
      <c r="BJ68" s="17">
        <v>120</v>
      </c>
      <c r="BK68" s="18"/>
      <c r="BL68" s="18"/>
      <c r="BM68" s="18">
        <v>7.36</v>
      </c>
      <c r="BN68" s="17">
        <v>15</v>
      </c>
      <c r="BO68" s="17">
        <v>149</v>
      </c>
      <c r="BP68" s="21">
        <v>8.5</v>
      </c>
      <c r="BQ68" s="21">
        <f>BO68/BR68</f>
        <v>298</v>
      </c>
      <c r="BR68" s="18">
        <v>0.5</v>
      </c>
      <c r="BU68" s="20">
        <v>14</v>
      </c>
      <c r="BV68" s="22">
        <v>18.648705693704155</v>
      </c>
      <c r="BW68" s="18">
        <f t="shared" si="49"/>
        <v>1</v>
      </c>
      <c r="BX68" s="18">
        <f t="shared" si="50"/>
        <v>0</v>
      </c>
      <c r="BY68" s="18">
        <f t="shared" si="51"/>
        <v>0</v>
      </c>
      <c r="BZ68" s="18">
        <f t="shared" si="52"/>
        <v>1</v>
      </c>
      <c r="CA68" s="22">
        <v>0</v>
      </c>
      <c r="CB68" s="22">
        <v>1</v>
      </c>
      <c r="CC68" s="22">
        <v>0</v>
      </c>
      <c r="CD68" s="22">
        <v>0</v>
      </c>
      <c r="CE68" s="22">
        <v>0</v>
      </c>
      <c r="CF68" s="22">
        <f t="shared" si="53"/>
        <v>1</v>
      </c>
      <c r="CG68" s="22">
        <v>0</v>
      </c>
      <c r="CH68" s="22">
        <v>4</v>
      </c>
      <c r="CI68" s="23">
        <v>0</v>
      </c>
      <c r="CJ68" s="23">
        <v>1</v>
      </c>
      <c r="CK68" s="23">
        <v>0</v>
      </c>
      <c r="CL68" s="23">
        <v>1</v>
      </c>
      <c r="CM68" s="23">
        <v>4</v>
      </c>
      <c r="CN68" s="23" t="s">
        <v>219</v>
      </c>
      <c r="CO68" s="18" t="s">
        <v>220</v>
      </c>
      <c r="CP68" s="18" t="s">
        <v>205</v>
      </c>
      <c r="CQ68" s="18">
        <v>180</v>
      </c>
      <c r="CR68" s="18">
        <v>1500</v>
      </c>
      <c r="CS68" s="18" t="s">
        <v>206</v>
      </c>
      <c r="CT68" s="18" t="s">
        <v>207</v>
      </c>
      <c r="CU68" s="17">
        <v>2080</v>
      </c>
      <c r="CV68" s="18" t="s">
        <v>209</v>
      </c>
      <c r="CW68" s="17">
        <v>2700</v>
      </c>
      <c r="CX68" s="21">
        <v>1.5</v>
      </c>
      <c r="CY68" s="17">
        <v>4000</v>
      </c>
      <c r="CZ68" s="17">
        <v>0</v>
      </c>
      <c r="DA68" s="17">
        <v>0</v>
      </c>
      <c r="DB68" s="17">
        <v>1</v>
      </c>
      <c r="DC68" s="17">
        <v>1</v>
      </c>
      <c r="DD68" s="17">
        <v>5</v>
      </c>
      <c r="DE68" s="17">
        <v>130</v>
      </c>
      <c r="DF68" s="17">
        <v>18</v>
      </c>
      <c r="DG68" s="21">
        <v>9</v>
      </c>
      <c r="DH68" s="18">
        <v>2.4900000000000002</v>
      </c>
      <c r="DI68" s="18">
        <v>79</v>
      </c>
      <c r="DJ68" s="18">
        <v>23</v>
      </c>
      <c r="DK68" s="17">
        <v>156</v>
      </c>
      <c r="DL68" s="21">
        <v>18</v>
      </c>
      <c r="DM68" s="21">
        <v>46</v>
      </c>
      <c r="DN68" s="18"/>
      <c r="DO68" s="18">
        <v>2.17</v>
      </c>
      <c r="DP68" s="21">
        <v>7</v>
      </c>
      <c r="DQ68" s="18">
        <v>0.3</v>
      </c>
      <c r="DR68" s="18">
        <v>150</v>
      </c>
      <c r="DY68" s="18">
        <v>138</v>
      </c>
      <c r="DZ68" s="18">
        <v>3.4</v>
      </c>
      <c r="EA68" s="18">
        <v>106</v>
      </c>
      <c r="EB68" s="18"/>
      <c r="EC68" s="18">
        <v>197</v>
      </c>
      <c r="ED68" s="17">
        <v>2080</v>
      </c>
      <c r="EE68" s="18">
        <v>7.4</v>
      </c>
      <c r="EF68" s="18">
        <v>40</v>
      </c>
      <c r="EG68" s="18">
        <v>84</v>
      </c>
      <c r="EH68" s="18">
        <v>25</v>
      </c>
      <c r="EI68" s="18">
        <f>EG68/0.21</f>
        <v>400</v>
      </c>
      <c r="EJ68" s="18">
        <f t="shared" si="44"/>
        <v>0.21</v>
      </c>
      <c r="EL68" s="18"/>
      <c r="EM68" s="18">
        <v>13</v>
      </c>
      <c r="EN68" s="22">
        <v>10</v>
      </c>
      <c r="EO68" s="22">
        <v>11.334697884966939</v>
      </c>
      <c r="EP68" s="18">
        <f t="shared" si="54"/>
        <v>1</v>
      </c>
      <c r="EQ68" s="18">
        <f t="shared" si="55"/>
        <v>0</v>
      </c>
      <c r="ER68" s="18">
        <f t="shared" si="56"/>
        <v>0</v>
      </c>
      <c r="ES68" s="18">
        <f t="shared" si="57"/>
        <v>1</v>
      </c>
      <c r="ET68" s="22">
        <v>0</v>
      </c>
      <c r="EU68" s="22">
        <v>0</v>
      </c>
      <c r="EV68" s="22">
        <v>0</v>
      </c>
      <c r="EW68" s="22">
        <v>0</v>
      </c>
      <c r="EX68" s="22">
        <v>0</v>
      </c>
      <c r="EY68" s="22">
        <f t="shared" si="58"/>
        <v>0</v>
      </c>
      <c r="EZ68" s="22">
        <v>2</v>
      </c>
      <c r="FA68" s="18" t="s">
        <v>221</v>
      </c>
      <c r="FB68" s="18" t="s">
        <v>209</v>
      </c>
      <c r="FC68" s="18">
        <v>8.6999999999999993</v>
      </c>
      <c r="FD68" s="18">
        <v>127</v>
      </c>
      <c r="FE68" s="18">
        <v>41.3</v>
      </c>
      <c r="FF68" s="18">
        <v>176</v>
      </c>
      <c r="FG68" s="18">
        <v>12</v>
      </c>
      <c r="FH68" s="18">
        <v>32</v>
      </c>
      <c r="FI68" s="18"/>
      <c r="FJ68" s="18"/>
      <c r="FK68" s="18">
        <v>11</v>
      </c>
      <c r="FL68" s="18">
        <v>0.43</v>
      </c>
      <c r="FM68" s="18">
        <v>120</v>
      </c>
      <c r="FN68" s="18">
        <v>136</v>
      </c>
      <c r="FO68" s="18">
        <v>3.9</v>
      </c>
      <c r="FP68" s="18">
        <v>108</v>
      </c>
      <c r="FQ68" s="18"/>
      <c r="FR68" s="18">
        <v>47</v>
      </c>
      <c r="FS68" s="17">
        <v>523</v>
      </c>
      <c r="FT68" s="18">
        <v>7.39</v>
      </c>
      <c r="FU68" s="18">
        <v>37</v>
      </c>
      <c r="FV68" s="18">
        <v>87</v>
      </c>
      <c r="FW68" s="18">
        <v>25</v>
      </c>
      <c r="FX68" s="18">
        <v>0.21</v>
      </c>
      <c r="FY68" s="18">
        <v>414.28571428571428</v>
      </c>
      <c r="FZ68" s="18"/>
      <c r="GA68" s="18">
        <v>15</v>
      </c>
      <c r="GB68" s="22">
        <v>0</v>
      </c>
      <c r="GC68" s="22">
        <v>5</v>
      </c>
      <c r="GD68" s="22">
        <v>0</v>
      </c>
      <c r="GE68" s="18">
        <v>5.8030727493148637</v>
      </c>
      <c r="GF68" s="18">
        <f t="shared" si="59"/>
        <v>0.75399811853245535</v>
      </c>
      <c r="GG68" s="17">
        <f>BI68-FS68</f>
        <v>1603</v>
      </c>
      <c r="GH68" s="17">
        <f t="shared" si="60"/>
        <v>1</v>
      </c>
      <c r="GI68" s="17">
        <f t="shared" si="45"/>
        <v>9</v>
      </c>
      <c r="GJ68" s="24">
        <f>ED68-FS68</f>
        <v>1557</v>
      </c>
      <c r="GK68" s="24">
        <f>GJ68/ED68</f>
        <v>0.74855769230769231</v>
      </c>
    </row>
    <row r="69" spans="1:193" ht="18" customHeight="1" x14ac:dyDescent="0.45">
      <c r="A69" s="14">
        <v>67</v>
      </c>
      <c r="B69" s="35">
        <v>2190024858</v>
      </c>
      <c r="C69" s="15" t="s">
        <v>423</v>
      </c>
      <c r="D69" s="16">
        <v>1</v>
      </c>
      <c r="E69" s="17">
        <v>1986</v>
      </c>
      <c r="F69" s="17">
        <f t="shared" si="46"/>
        <v>37</v>
      </c>
      <c r="G69" s="18" t="s">
        <v>237</v>
      </c>
      <c r="H69" s="18" t="s">
        <v>247</v>
      </c>
      <c r="I69" s="17">
        <v>0</v>
      </c>
      <c r="J69" s="18">
        <f t="shared" si="47"/>
        <v>4.1760000000000002</v>
      </c>
      <c r="K69" s="17">
        <v>87</v>
      </c>
      <c r="L69" s="17">
        <v>175</v>
      </c>
      <c r="M69" s="18">
        <f t="shared" si="41"/>
        <v>28.408163265306122</v>
      </c>
      <c r="N69" s="17">
        <v>0</v>
      </c>
      <c r="O69" s="17">
        <v>1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9" t="s">
        <v>248</v>
      </c>
      <c r="W69" s="17">
        <v>48</v>
      </c>
      <c r="X69" s="20">
        <v>10</v>
      </c>
      <c r="Y69" s="17">
        <v>2</v>
      </c>
      <c r="Z69" s="17">
        <v>9</v>
      </c>
      <c r="AA69" s="17">
        <v>130</v>
      </c>
      <c r="AB69" s="17">
        <v>130</v>
      </c>
      <c r="AC69" s="17">
        <v>80</v>
      </c>
      <c r="AD69" s="18">
        <f t="shared" si="48"/>
        <v>96.666666666666657</v>
      </c>
      <c r="AE69" s="18">
        <v>18</v>
      </c>
      <c r="AF69" s="17">
        <v>37</v>
      </c>
      <c r="AG69" s="17">
        <v>1</v>
      </c>
      <c r="AH69" s="17">
        <v>0</v>
      </c>
      <c r="AI69" s="17">
        <v>0</v>
      </c>
      <c r="AJ69" s="17">
        <v>15</v>
      </c>
      <c r="AK69" s="18">
        <v>14</v>
      </c>
      <c r="AL69" s="18">
        <v>4.2</v>
      </c>
      <c r="AM69" s="18">
        <v>141</v>
      </c>
      <c r="AN69" s="18">
        <v>40</v>
      </c>
      <c r="AO69" s="18">
        <v>253</v>
      </c>
      <c r="AP69" s="18">
        <v>38</v>
      </c>
      <c r="AQ69" s="18">
        <v>32</v>
      </c>
      <c r="AR69" s="18">
        <v>10.8</v>
      </c>
      <c r="AS69" s="21">
        <v>380</v>
      </c>
      <c r="AT69" s="18"/>
      <c r="AX69" s="17">
        <v>10</v>
      </c>
      <c r="AY69" s="18">
        <v>1.3</v>
      </c>
      <c r="BA69" s="5">
        <v>1.7</v>
      </c>
      <c r="BB69" s="5">
        <v>0.14000000000000001</v>
      </c>
      <c r="BC69" s="21">
        <v>68</v>
      </c>
      <c r="BD69" s="17">
        <v>127</v>
      </c>
      <c r="BE69" s="21">
        <v>4</v>
      </c>
      <c r="BF69" s="17">
        <v>98</v>
      </c>
      <c r="BG69" s="17">
        <v>580</v>
      </c>
      <c r="BH69" s="17">
        <v>930</v>
      </c>
      <c r="BI69" s="17">
        <v>3640</v>
      </c>
      <c r="BJ69" s="17">
        <v>340</v>
      </c>
      <c r="BK69" s="18"/>
      <c r="BL69" s="18"/>
      <c r="BM69" s="18">
        <v>7.3</v>
      </c>
      <c r="BN69" s="17">
        <v>24</v>
      </c>
      <c r="BO69" s="17">
        <v>141</v>
      </c>
      <c r="BP69" s="21">
        <v>13</v>
      </c>
      <c r="BQ69" s="21">
        <f>BO69/BR69</f>
        <v>402.85714285714289</v>
      </c>
      <c r="BR69" s="18">
        <v>0.35</v>
      </c>
      <c r="BU69" s="20">
        <v>10</v>
      </c>
      <c r="BV69" s="22">
        <v>11.334697884966939</v>
      </c>
      <c r="BW69" s="18">
        <f t="shared" si="49"/>
        <v>1</v>
      </c>
      <c r="BX69" s="18">
        <f t="shared" si="50"/>
        <v>0</v>
      </c>
      <c r="BY69" s="18">
        <f t="shared" si="51"/>
        <v>0</v>
      </c>
      <c r="BZ69" s="18">
        <f t="shared" si="52"/>
        <v>1</v>
      </c>
      <c r="CA69" s="22">
        <v>0</v>
      </c>
      <c r="CB69" s="22">
        <v>0</v>
      </c>
      <c r="CC69" s="22">
        <v>1</v>
      </c>
      <c r="CD69" s="22">
        <v>0</v>
      </c>
      <c r="CE69" s="22">
        <v>0</v>
      </c>
      <c r="CF69" s="22">
        <f t="shared" si="53"/>
        <v>1</v>
      </c>
      <c r="CG69" s="22">
        <v>1</v>
      </c>
      <c r="CH69" s="22">
        <v>2</v>
      </c>
      <c r="CI69" s="23">
        <v>0</v>
      </c>
      <c r="CJ69" s="23">
        <v>0</v>
      </c>
      <c r="CK69" s="23">
        <v>1</v>
      </c>
      <c r="CL69" s="23">
        <v>0</v>
      </c>
      <c r="CM69" s="23">
        <v>4</v>
      </c>
      <c r="CN69" s="23" t="s">
        <v>219</v>
      </c>
      <c r="CO69" s="18" t="s">
        <v>249</v>
      </c>
      <c r="CP69" s="18" t="s">
        <v>235</v>
      </c>
      <c r="CQ69" s="18">
        <v>180</v>
      </c>
      <c r="CR69" s="18">
        <v>1500</v>
      </c>
      <c r="CS69" s="18" t="s">
        <v>236</v>
      </c>
      <c r="CT69" s="18" t="s">
        <v>207</v>
      </c>
      <c r="CU69" s="17">
        <f>BI69</f>
        <v>3640</v>
      </c>
      <c r="CV69" s="18" t="s">
        <v>208</v>
      </c>
      <c r="CW69" s="17">
        <v>2600</v>
      </c>
      <c r="CX69" s="21">
        <v>1</v>
      </c>
      <c r="CY69" s="17">
        <v>2600</v>
      </c>
      <c r="DB69" s="17">
        <v>1</v>
      </c>
      <c r="DC69" s="17">
        <v>0</v>
      </c>
      <c r="DD69" s="17">
        <v>3</v>
      </c>
      <c r="DE69" s="17">
        <v>110</v>
      </c>
      <c r="DF69" s="17">
        <v>16</v>
      </c>
      <c r="DG69" s="21">
        <v>11</v>
      </c>
      <c r="DH69" s="18">
        <v>3.72</v>
      </c>
      <c r="DI69" s="18">
        <v>131</v>
      </c>
      <c r="DJ69" s="18">
        <v>35</v>
      </c>
      <c r="DK69" s="17">
        <v>191</v>
      </c>
      <c r="DL69" s="21">
        <v>100</v>
      </c>
      <c r="DM69" s="21">
        <v>28</v>
      </c>
      <c r="DN69" s="18">
        <v>244</v>
      </c>
      <c r="DO69" s="18"/>
      <c r="DP69" s="21">
        <v>7</v>
      </c>
      <c r="DQ69" s="18">
        <v>0.7</v>
      </c>
      <c r="DR69" s="18">
        <v>117</v>
      </c>
      <c r="DY69" s="18">
        <v>141</v>
      </c>
      <c r="DZ69" s="18">
        <v>3.3</v>
      </c>
      <c r="EA69" s="18">
        <v>110</v>
      </c>
      <c r="EB69" s="18"/>
      <c r="EC69" s="18"/>
      <c r="ED69" s="17">
        <v>1123</v>
      </c>
      <c r="EE69" s="18">
        <v>7.38</v>
      </c>
      <c r="EF69" s="18">
        <v>29</v>
      </c>
      <c r="EG69" s="18">
        <v>74</v>
      </c>
      <c r="EH69" s="18">
        <v>26</v>
      </c>
      <c r="EI69" s="18">
        <f>EG69/0.3</f>
        <v>246.66666666666669</v>
      </c>
      <c r="EJ69" s="18">
        <f t="shared" si="44"/>
        <v>0.3</v>
      </c>
      <c r="EL69" s="18"/>
      <c r="EM69" s="18">
        <v>13</v>
      </c>
      <c r="EN69" s="22">
        <v>5</v>
      </c>
      <c r="EO69" s="22">
        <v>5.8030727493148637</v>
      </c>
      <c r="EP69" s="18">
        <f t="shared" si="54"/>
        <v>1</v>
      </c>
      <c r="EQ69" s="18">
        <f t="shared" si="55"/>
        <v>0</v>
      </c>
      <c r="ER69" s="18">
        <f t="shared" si="56"/>
        <v>0</v>
      </c>
      <c r="ES69" s="18">
        <f t="shared" si="57"/>
        <v>1</v>
      </c>
      <c r="ET69" s="22">
        <v>0</v>
      </c>
      <c r="EU69" s="22">
        <v>0</v>
      </c>
      <c r="EV69" s="22">
        <v>1</v>
      </c>
      <c r="EW69" s="22">
        <v>0</v>
      </c>
      <c r="EX69" s="22">
        <v>0</v>
      </c>
      <c r="EY69" s="22">
        <f t="shared" si="58"/>
        <v>1</v>
      </c>
      <c r="EZ69" s="22">
        <v>2</v>
      </c>
      <c r="FA69" s="18" t="s">
        <v>250</v>
      </c>
      <c r="FB69" s="18" t="s">
        <v>208</v>
      </c>
      <c r="FC69" s="18">
        <v>10</v>
      </c>
      <c r="FD69" s="18">
        <v>110</v>
      </c>
      <c r="FE69" s="18">
        <v>32</v>
      </c>
      <c r="FF69" s="18">
        <v>157</v>
      </c>
      <c r="FG69" s="18">
        <v>12</v>
      </c>
      <c r="FH69" s="18">
        <v>26</v>
      </c>
      <c r="FI69" s="18">
        <v>72</v>
      </c>
      <c r="FJ69" s="18">
        <v>3.5</v>
      </c>
      <c r="FK69" s="18">
        <v>16</v>
      </c>
      <c r="FL69" s="18">
        <v>0.69</v>
      </c>
      <c r="FM69" s="18">
        <v>122</v>
      </c>
      <c r="FN69" s="18">
        <v>142</v>
      </c>
      <c r="FO69" s="18">
        <v>3.9</v>
      </c>
      <c r="FP69" s="18">
        <v>103</v>
      </c>
      <c r="FQ69" s="18"/>
      <c r="FR69" s="18"/>
      <c r="FS69" s="18">
        <v>311</v>
      </c>
      <c r="FT69" s="18">
        <v>7.38</v>
      </c>
      <c r="FU69" s="18">
        <v>43</v>
      </c>
      <c r="FV69" s="18">
        <v>94</v>
      </c>
      <c r="FW69" s="18">
        <v>23</v>
      </c>
      <c r="FX69" s="18">
        <v>0.21</v>
      </c>
      <c r="FY69" s="18">
        <v>447.61904761904765</v>
      </c>
      <c r="FZ69" s="18"/>
      <c r="GA69" s="18">
        <v>15</v>
      </c>
      <c r="GB69" s="22">
        <v>2</v>
      </c>
      <c r="GC69" s="22">
        <v>2</v>
      </c>
      <c r="GD69" s="22">
        <v>0</v>
      </c>
      <c r="GE69" s="22">
        <v>3.8235691765958144</v>
      </c>
      <c r="GF69" s="18">
        <f t="shared" si="59"/>
        <v>0.69148351648351647</v>
      </c>
      <c r="GG69" s="17">
        <f>BI69-ED69</f>
        <v>2517</v>
      </c>
      <c r="GH69" s="17">
        <f t="shared" si="60"/>
        <v>0</v>
      </c>
      <c r="GI69" s="17">
        <f t="shared" si="45"/>
        <v>8</v>
      </c>
      <c r="GJ69" s="18">
        <f>ED69-FS69</f>
        <v>812</v>
      </c>
      <c r="GK69" s="24">
        <f>GJ69/ED69</f>
        <v>0.72306322350845953</v>
      </c>
    </row>
    <row r="70" spans="1:193" ht="18" customHeight="1" x14ac:dyDescent="0.45">
      <c r="A70" s="14">
        <v>68</v>
      </c>
      <c r="B70" s="35">
        <v>2190054098</v>
      </c>
      <c r="C70" s="15" t="s">
        <v>390</v>
      </c>
      <c r="D70" s="16">
        <v>0</v>
      </c>
      <c r="E70" s="17">
        <v>1963</v>
      </c>
      <c r="F70" s="17">
        <f t="shared" si="46"/>
        <v>60</v>
      </c>
      <c r="G70" s="18" t="s">
        <v>211</v>
      </c>
      <c r="H70" s="18" t="s">
        <v>316</v>
      </c>
      <c r="I70" s="17">
        <v>0</v>
      </c>
      <c r="J70" s="18">
        <f t="shared" si="47"/>
        <v>3.36</v>
      </c>
      <c r="K70" s="17">
        <v>70</v>
      </c>
      <c r="L70" s="17">
        <v>170</v>
      </c>
      <c r="M70" s="18">
        <f t="shared" si="41"/>
        <v>24.221453287197235</v>
      </c>
      <c r="N70" s="17">
        <v>0</v>
      </c>
      <c r="O70" s="17">
        <v>1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9" t="s">
        <v>370</v>
      </c>
      <c r="W70" s="17">
        <v>72</v>
      </c>
      <c r="X70" s="20">
        <v>23</v>
      </c>
      <c r="Y70" s="17">
        <v>1</v>
      </c>
      <c r="Z70" s="17">
        <v>8</v>
      </c>
      <c r="AA70" s="17">
        <v>98</v>
      </c>
      <c r="AB70" s="17">
        <v>100</v>
      </c>
      <c r="AC70" s="17">
        <v>70</v>
      </c>
      <c r="AD70" s="18">
        <f t="shared" si="48"/>
        <v>80</v>
      </c>
      <c r="AE70" s="18">
        <v>20</v>
      </c>
      <c r="AF70" s="17">
        <v>37</v>
      </c>
      <c r="AG70" s="17">
        <v>1</v>
      </c>
      <c r="AH70" s="17">
        <v>1</v>
      </c>
      <c r="AI70" s="17">
        <v>0</v>
      </c>
      <c r="AJ70" s="17">
        <v>5</v>
      </c>
      <c r="AK70" s="18">
        <v>14</v>
      </c>
      <c r="AL70" s="18">
        <v>4.3</v>
      </c>
      <c r="AM70" s="18">
        <v>159</v>
      </c>
      <c r="AN70" s="18">
        <v>38</v>
      </c>
      <c r="AO70" s="18">
        <v>192</v>
      </c>
      <c r="AP70" s="18">
        <v>14</v>
      </c>
      <c r="AQ70" s="18">
        <v>30.5</v>
      </c>
      <c r="AR70" s="18">
        <v>3.8</v>
      </c>
      <c r="AT70" s="18"/>
      <c r="AX70" s="17">
        <v>20</v>
      </c>
      <c r="AY70" s="18">
        <v>0.88</v>
      </c>
      <c r="BA70" s="5">
        <v>1.06</v>
      </c>
      <c r="BB70" s="5">
        <v>0.26</v>
      </c>
      <c r="BC70" s="21">
        <v>95</v>
      </c>
      <c r="BD70" s="17">
        <v>127</v>
      </c>
      <c r="BE70" s="21">
        <v>3.4</v>
      </c>
      <c r="BF70" s="17">
        <v>97</v>
      </c>
      <c r="BG70" s="17">
        <v>2670</v>
      </c>
      <c r="BI70" s="17">
        <v>4390</v>
      </c>
      <c r="BJ70" s="17">
        <v>214</v>
      </c>
      <c r="BK70" s="18"/>
      <c r="BL70" s="18"/>
      <c r="BM70" s="18">
        <v>7.28</v>
      </c>
      <c r="BN70" s="17">
        <v>33</v>
      </c>
      <c r="BO70" s="17">
        <v>390</v>
      </c>
      <c r="BP70" s="21">
        <v>15</v>
      </c>
      <c r="BQ70" s="21">
        <v>390</v>
      </c>
      <c r="BR70" s="18">
        <v>1</v>
      </c>
      <c r="BS70" s="10">
        <v>1.94</v>
      </c>
      <c r="BU70" s="20">
        <v>23</v>
      </c>
      <c r="BV70" s="22">
        <v>46.033353214124759</v>
      </c>
      <c r="BW70" s="18">
        <f t="shared" si="49"/>
        <v>1</v>
      </c>
      <c r="BX70" s="18">
        <f t="shared" si="50"/>
        <v>0</v>
      </c>
      <c r="BY70" s="18">
        <f t="shared" si="51"/>
        <v>0</v>
      </c>
      <c r="BZ70" s="18">
        <f t="shared" si="52"/>
        <v>1</v>
      </c>
      <c r="CA70" s="22">
        <v>0</v>
      </c>
      <c r="CB70" s="22">
        <v>1</v>
      </c>
      <c r="CC70" s="22">
        <v>1</v>
      </c>
      <c r="CD70" s="22">
        <v>0</v>
      </c>
      <c r="CE70" s="22">
        <v>1</v>
      </c>
      <c r="CF70" s="22">
        <f t="shared" si="53"/>
        <v>3</v>
      </c>
      <c r="CG70" s="22">
        <v>2</v>
      </c>
      <c r="CH70" s="22">
        <v>5</v>
      </c>
      <c r="CI70" s="23">
        <v>0</v>
      </c>
      <c r="CJ70" s="23">
        <v>0</v>
      </c>
      <c r="CK70" s="23">
        <v>1</v>
      </c>
      <c r="CL70" s="23">
        <v>0</v>
      </c>
      <c r="CM70" s="23">
        <v>6</v>
      </c>
      <c r="CN70" s="23" t="s">
        <v>203</v>
      </c>
      <c r="CO70" s="18" t="s">
        <v>371</v>
      </c>
      <c r="CP70" s="18" t="s">
        <v>235</v>
      </c>
      <c r="CQ70" s="18">
        <v>150</v>
      </c>
      <c r="CR70" s="18">
        <v>1200</v>
      </c>
      <c r="CS70" s="18" t="s">
        <v>236</v>
      </c>
      <c r="CT70" s="18" t="s">
        <v>207</v>
      </c>
      <c r="CU70" s="17">
        <v>4390</v>
      </c>
      <c r="CV70" s="18" t="s">
        <v>209</v>
      </c>
      <c r="CW70" s="17">
        <v>3000</v>
      </c>
      <c r="CX70" s="21">
        <v>1.5</v>
      </c>
      <c r="CY70" s="17">
        <v>4500</v>
      </c>
      <c r="DB70" s="17">
        <v>1</v>
      </c>
      <c r="DC70" s="17">
        <v>1</v>
      </c>
      <c r="DD70" s="17">
        <v>3</v>
      </c>
      <c r="DE70" s="17">
        <v>78</v>
      </c>
      <c r="DF70" s="17">
        <v>22</v>
      </c>
      <c r="DG70" s="21">
        <v>10</v>
      </c>
      <c r="DH70" s="18">
        <v>4</v>
      </c>
      <c r="DI70" s="18">
        <v>126</v>
      </c>
      <c r="DJ70" s="18">
        <v>37</v>
      </c>
      <c r="DK70" s="17">
        <v>117</v>
      </c>
      <c r="DL70" s="21">
        <v>32</v>
      </c>
      <c r="DM70" s="21">
        <v>70</v>
      </c>
      <c r="DN70" s="18"/>
      <c r="DO70" s="18">
        <v>2.9</v>
      </c>
      <c r="DP70" s="21">
        <v>30</v>
      </c>
      <c r="DQ70" s="18">
        <v>3.3</v>
      </c>
      <c r="DR70" s="18">
        <v>19</v>
      </c>
      <c r="DY70" s="18">
        <v>134</v>
      </c>
      <c r="DZ70" s="18">
        <v>5</v>
      </c>
      <c r="EA70" s="18">
        <v>106</v>
      </c>
      <c r="EB70" s="18"/>
      <c r="EC70" s="18">
        <v>324</v>
      </c>
      <c r="ED70" s="17">
        <v>642</v>
      </c>
      <c r="EE70" s="18">
        <v>7.33</v>
      </c>
      <c r="EF70" s="18">
        <v>33</v>
      </c>
      <c r="EG70" s="18">
        <v>80</v>
      </c>
      <c r="EH70" s="18">
        <v>17</v>
      </c>
      <c r="EI70" s="18">
        <f>EG70/0.3</f>
        <v>266.66666666666669</v>
      </c>
      <c r="EJ70" s="18">
        <f t="shared" si="44"/>
        <v>0.3</v>
      </c>
      <c r="EL70" s="18"/>
      <c r="EM70" s="18">
        <v>3</v>
      </c>
      <c r="EN70" s="22">
        <v>24</v>
      </c>
      <c r="EO70" s="22">
        <v>49.675004577005971</v>
      </c>
      <c r="EP70" s="18">
        <f t="shared" si="54"/>
        <v>0</v>
      </c>
      <c r="EQ70" s="18">
        <f t="shared" si="55"/>
        <v>1</v>
      </c>
      <c r="ER70" s="18">
        <f t="shared" si="56"/>
        <v>1</v>
      </c>
      <c r="ES70" s="18">
        <f t="shared" si="57"/>
        <v>2</v>
      </c>
      <c r="ET70" s="22">
        <v>1</v>
      </c>
      <c r="EU70" s="22">
        <v>1</v>
      </c>
      <c r="EV70" s="22">
        <v>1</v>
      </c>
      <c r="EW70" s="22">
        <v>0</v>
      </c>
      <c r="EX70" s="22">
        <v>1</v>
      </c>
      <c r="EY70" s="22">
        <f t="shared" si="58"/>
        <v>4</v>
      </c>
      <c r="EZ70" s="22">
        <v>5</v>
      </c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7">
        <v>642</v>
      </c>
      <c r="FT70" s="18"/>
      <c r="FU70" s="18"/>
      <c r="FV70" s="18"/>
      <c r="FW70" s="18"/>
      <c r="FX70" s="18"/>
      <c r="FY70" s="18"/>
      <c r="FZ70" s="18"/>
      <c r="GA70" s="18"/>
      <c r="GB70" s="22">
        <v>12</v>
      </c>
      <c r="GC70" s="22">
        <v>24</v>
      </c>
      <c r="GD70" s="22">
        <v>1</v>
      </c>
      <c r="GE70" s="18"/>
      <c r="GF70" s="18">
        <f t="shared" si="59"/>
        <v>0.85375854214123004</v>
      </c>
      <c r="GG70" s="17">
        <f>BI70-FS70</f>
        <v>3748</v>
      </c>
      <c r="GH70" s="17">
        <f t="shared" si="60"/>
        <v>-1</v>
      </c>
      <c r="GI70" s="17">
        <f t="shared" si="45"/>
        <v>-1</v>
      </c>
    </row>
    <row r="71" spans="1:193" ht="18" customHeight="1" x14ac:dyDescent="0.45">
      <c r="A71" s="14">
        <v>69</v>
      </c>
      <c r="B71" s="35">
        <v>2190056252</v>
      </c>
      <c r="C71" s="15" t="s">
        <v>311</v>
      </c>
      <c r="D71" s="16">
        <v>1</v>
      </c>
      <c r="E71" s="17">
        <v>1992</v>
      </c>
      <c r="F71" s="17">
        <f t="shared" si="46"/>
        <v>31</v>
      </c>
      <c r="G71" s="18" t="s">
        <v>211</v>
      </c>
      <c r="H71" s="18" t="s">
        <v>392</v>
      </c>
      <c r="I71" s="17">
        <v>1</v>
      </c>
      <c r="J71" s="18">
        <f t="shared" si="47"/>
        <v>2.64</v>
      </c>
      <c r="K71" s="17">
        <v>55</v>
      </c>
      <c r="L71" s="17">
        <v>163</v>
      </c>
      <c r="M71" s="18">
        <f t="shared" si="41"/>
        <v>20.700816741315069</v>
      </c>
      <c r="N71" s="17">
        <v>0</v>
      </c>
      <c r="O71" s="17">
        <v>1</v>
      </c>
      <c r="P71" s="17">
        <v>0</v>
      </c>
      <c r="Q71" s="17">
        <v>1</v>
      </c>
      <c r="R71" s="17">
        <v>0</v>
      </c>
      <c r="S71" s="17">
        <v>0</v>
      </c>
      <c r="T71" s="17">
        <v>1</v>
      </c>
      <c r="U71" s="17">
        <v>1</v>
      </c>
      <c r="V71" s="19" t="s">
        <v>393</v>
      </c>
      <c r="W71" s="17">
        <v>24</v>
      </c>
      <c r="X71" s="20">
        <v>11</v>
      </c>
      <c r="Y71" s="17">
        <v>1</v>
      </c>
      <c r="Z71" s="17">
        <v>7</v>
      </c>
      <c r="AA71" s="17">
        <v>130</v>
      </c>
      <c r="AB71" s="17">
        <v>100</v>
      </c>
      <c r="AC71" s="17">
        <v>60</v>
      </c>
      <c r="AD71" s="18">
        <f t="shared" si="48"/>
        <v>73.333333333333329</v>
      </c>
      <c r="AE71" s="18">
        <v>20</v>
      </c>
      <c r="AF71" s="17">
        <v>37</v>
      </c>
      <c r="AG71" s="17">
        <v>1</v>
      </c>
      <c r="AH71" s="17">
        <v>0</v>
      </c>
      <c r="AI71" s="17">
        <v>0</v>
      </c>
      <c r="AJ71" s="17">
        <v>14</v>
      </c>
      <c r="AK71" s="18">
        <v>12</v>
      </c>
      <c r="AL71" s="18">
        <v>4.07</v>
      </c>
      <c r="AM71" s="18">
        <v>134</v>
      </c>
      <c r="AN71" s="18">
        <v>35</v>
      </c>
      <c r="AO71" s="18">
        <v>319</v>
      </c>
      <c r="AP71" s="18">
        <v>13</v>
      </c>
      <c r="AQ71" s="18">
        <v>31</v>
      </c>
      <c r="AR71" s="18"/>
      <c r="AT71" s="18"/>
      <c r="AX71" s="17">
        <v>10</v>
      </c>
      <c r="AY71" s="18">
        <v>0.4</v>
      </c>
      <c r="BA71" s="5">
        <v>0.62</v>
      </c>
      <c r="BB71" s="5">
        <v>0.47</v>
      </c>
      <c r="BC71" s="21">
        <v>133</v>
      </c>
      <c r="BD71" s="17">
        <v>123</v>
      </c>
      <c r="BE71" s="21">
        <v>3.7</v>
      </c>
      <c r="BF71" s="17">
        <v>99</v>
      </c>
      <c r="BH71" s="17">
        <v>265</v>
      </c>
      <c r="BI71" s="17">
        <v>4900</v>
      </c>
      <c r="BJ71" s="17">
        <v>184</v>
      </c>
      <c r="BK71" s="18">
        <v>9.5</v>
      </c>
      <c r="BL71" s="18"/>
      <c r="BM71" s="18">
        <v>7.35</v>
      </c>
      <c r="BN71" s="17">
        <v>21</v>
      </c>
      <c r="BO71" s="17">
        <v>90</v>
      </c>
      <c r="BP71" s="21">
        <v>12</v>
      </c>
      <c r="BQ71" s="21">
        <v>400</v>
      </c>
      <c r="BR71" s="18"/>
      <c r="BS71" s="10">
        <v>1.56</v>
      </c>
      <c r="BU71" s="20">
        <v>11</v>
      </c>
      <c r="BV71" s="22">
        <v>12.886854903027482</v>
      </c>
      <c r="BW71" s="18">
        <f t="shared" si="49"/>
        <v>1</v>
      </c>
      <c r="BX71" s="18">
        <f t="shared" si="50"/>
        <v>0</v>
      </c>
      <c r="BY71" s="18">
        <f t="shared" si="51"/>
        <v>0</v>
      </c>
      <c r="BZ71" s="18">
        <f t="shared" si="52"/>
        <v>1</v>
      </c>
      <c r="CA71" s="22">
        <v>0</v>
      </c>
      <c r="CB71" s="22">
        <v>0</v>
      </c>
      <c r="CC71" s="22">
        <v>0</v>
      </c>
      <c r="CD71" s="22">
        <v>0</v>
      </c>
      <c r="CE71" s="22">
        <v>0</v>
      </c>
      <c r="CF71" s="22">
        <f t="shared" si="53"/>
        <v>0</v>
      </c>
      <c r="CG71" s="22">
        <v>0</v>
      </c>
      <c r="CH71" s="22">
        <v>1</v>
      </c>
      <c r="CI71" s="23">
        <v>0</v>
      </c>
      <c r="CJ71" s="23">
        <v>0</v>
      </c>
      <c r="CK71" s="23">
        <v>0</v>
      </c>
      <c r="CL71" s="23">
        <v>1</v>
      </c>
      <c r="CM71" s="23">
        <v>4</v>
      </c>
      <c r="CN71" s="23" t="s">
        <v>214</v>
      </c>
      <c r="CO71" s="18" t="s">
        <v>394</v>
      </c>
      <c r="CP71" s="18" t="s">
        <v>205</v>
      </c>
      <c r="CQ71" s="18">
        <v>200</v>
      </c>
      <c r="CR71" s="18">
        <v>1500</v>
      </c>
      <c r="CS71" s="18" t="s">
        <v>206</v>
      </c>
      <c r="CT71" s="18" t="s">
        <v>207</v>
      </c>
      <c r="CU71" s="17">
        <f>BI71</f>
        <v>4900</v>
      </c>
      <c r="CV71" s="18" t="s">
        <v>209</v>
      </c>
      <c r="CW71" s="17">
        <v>2500</v>
      </c>
      <c r="CX71" s="21">
        <v>1.5</v>
      </c>
      <c r="CY71" s="17">
        <v>3700</v>
      </c>
      <c r="DB71" s="17">
        <v>1</v>
      </c>
      <c r="DC71" s="17">
        <v>0</v>
      </c>
      <c r="DD71" s="17">
        <v>3</v>
      </c>
      <c r="DE71" s="17">
        <v>120</v>
      </c>
      <c r="DF71" s="17">
        <v>17</v>
      </c>
      <c r="DG71" s="21">
        <v>9.5</v>
      </c>
      <c r="DH71" s="18">
        <v>3.3</v>
      </c>
      <c r="DI71" s="18">
        <v>105</v>
      </c>
      <c r="DJ71" s="18">
        <v>29</v>
      </c>
      <c r="DK71" s="17">
        <v>199</v>
      </c>
      <c r="DL71" s="21">
        <v>11</v>
      </c>
      <c r="DM71" s="21">
        <v>41</v>
      </c>
      <c r="DN71" s="18">
        <v>163</v>
      </c>
      <c r="DO71" s="18">
        <v>3.5</v>
      </c>
      <c r="DP71" s="21">
        <v>8</v>
      </c>
      <c r="DQ71" s="18">
        <v>0.3</v>
      </c>
      <c r="DR71" s="18">
        <v>149</v>
      </c>
      <c r="DY71" s="18">
        <v>133</v>
      </c>
      <c r="DZ71" s="18">
        <v>3.9</v>
      </c>
      <c r="EA71" s="18">
        <v>109</v>
      </c>
      <c r="EB71" s="18"/>
      <c r="EC71" s="18">
        <v>132</v>
      </c>
      <c r="ED71" s="17">
        <v>718</v>
      </c>
      <c r="EE71" s="18">
        <v>7.42</v>
      </c>
      <c r="EF71" s="18">
        <v>41</v>
      </c>
      <c r="EG71" s="18">
        <v>82</v>
      </c>
      <c r="EH71" s="18">
        <v>24</v>
      </c>
      <c r="EI71" s="18">
        <f>EG71/0.21</f>
        <v>390.47619047619048</v>
      </c>
      <c r="EJ71" s="18">
        <f t="shared" si="44"/>
        <v>0.21</v>
      </c>
      <c r="EL71" s="18"/>
      <c r="EM71" s="18">
        <v>15</v>
      </c>
      <c r="EN71" s="22">
        <v>6</v>
      </c>
      <c r="EO71" s="22">
        <v>6.6545891108010107</v>
      </c>
      <c r="EP71" s="18">
        <f t="shared" si="54"/>
        <v>1</v>
      </c>
      <c r="EQ71" s="18">
        <f t="shared" si="55"/>
        <v>0</v>
      </c>
      <c r="ER71" s="18">
        <f t="shared" si="56"/>
        <v>0</v>
      </c>
      <c r="ES71" s="18">
        <f t="shared" si="57"/>
        <v>1</v>
      </c>
      <c r="ET71" s="22">
        <v>0</v>
      </c>
      <c r="EU71" s="22">
        <v>0</v>
      </c>
      <c r="EV71" s="22">
        <v>0</v>
      </c>
      <c r="EW71" s="22">
        <v>0</v>
      </c>
      <c r="EX71" s="22">
        <v>0</v>
      </c>
      <c r="EY71" s="22">
        <f t="shared" si="58"/>
        <v>0</v>
      </c>
      <c r="EZ71" s="22">
        <v>0</v>
      </c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7">
        <v>718</v>
      </c>
      <c r="FT71" s="18"/>
      <c r="FU71" s="18"/>
      <c r="FV71" s="18"/>
      <c r="FW71" s="18"/>
      <c r="FX71" s="18"/>
      <c r="FY71" s="18"/>
      <c r="FZ71" s="18"/>
      <c r="GA71" s="18"/>
      <c r="GB71" s="22">
        <v>0</v>
      </c>
      <c r="GC71" s="22">
        <v>6</v>
      </c>
      <c r="GD71" s="22">
        <v>0</v>
      </c>
      <c r="GE71" s="18"/>
      <c r="GF71" s="18">
        <f t="shared" si="59"/>
        <v>0.85346938775510206</v>
      </c>
      <c r="GG71" s="17">
        <f>BI71-ED71</f>
        <v>4182</v>
      </c>
      <c r="GH71" s="17">
        <f t="shared" si="60"/>
        <v>0</v>
      </c>
      <c r="GI71" s="17">
        <f t="shared" si="45"/>
        <v>5</v>
      </c>
    </row>
    <row r="72" spans="1:193" ht="18" customHeight="1" x14ac:dyDescent="0.45">
      <c r="A72" s="14">
        <v>70</v>
      </c>
      <c r="B72" s="35">
        <v>2200082723</v>
      </c>
      <c r="C72" s="15" t="s">
        <v>480</v>
      </c>
      <c r="D72" s="16">
        <v>0</v>
      </c>
      <c r="E72" s="17">
        <v>1994</v>
      </c>
      <c r="F72" s="17">
        <f t="shared" si="46"/>
        <v>29</v>
      </c>
      <c r="G72" s="18" t="s">
        <v>200</v>
      </c>
      <c r="H72" s="18" t="s">
        <v>234</v>
      </c>
      <c r="I72" s="17">
        <v>0</v>
      </c>
      <c r="J72" s="18">
        <f t="shared" si="47"/>
        <v>3.84</v>
      </c>
      <c r="K72" s="17">
        <v>80</v>
      </c>
      <c r="L72" s="17">
        <v>170</v>
      </c>
      <c r="M72" s="18">
        <f t="shared" si="41"/>
        <v>27.681660899653981</v>
      </c>
      <c r="N72" s="17">
        <v>0</v>
      </c>
      <c r="O72" s="17">
        <v>1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9" t="s">
        <v>432</v>
      </c>
      <c r="W72" s="17">
        <v>48</v>
      </c>
      <c r="X72" s="20">
        <v>19</v>
      </c>
      <c r="Y72" s="17">
        <v>1</v>
      </c>
      <c r="Z72" s="17">
        <v>14</v>
      </c>
      <c r="AA72" s="17">
        <v>135</v>
      </c>
      <c r="AB72" s="17">
        <v>130</v>
      </c>
      <c r="AC72" s="17">
        <v>95</v>
      </c>
      <c r="AD72" s="18">
        <f t="shared" si="48"/>
        <v>106.66666666666667</v>
      </c>
      <c r="AE72" s="18">
        <v>20</v>
      </c>
      <c r="AF72" s="17">
        <v>37</v>
      </c>
      <c r="AG72" s="17">
        <v>1</v>
      </c>
      <c r="AH72" s="17">
        <v>1</v>
      </c>
      <c r="AI72" s="17">
        <v>0</v>
      </c>
      <c r="AJ72" s="17">
        <v>12</v>
      </c>
      <c r="AK72" s="18">
        <v>17</v>
      </c>
      <c r="AL72" s="18">
        <v>5.5</v>
      </c>
      <c r="AM72" s="18">
        <v>169</v>
      </c>
      <c r="AN72" s="18">
        <v>49</v>
      </c>
      <c r="AO72" s="18">
        <v>281</v>
      </c>
      <c r="AP72" s="18">
        <v>16</v>
      </c>
      <c r="AQ72" s="18">
        <v>37.799999999999997</v>
      </c>
      <c r="AR72" s="18"/>
      <c r="AS72" s="21">
        <v>241</v>
      </c>
      <c r="AT72" s="18">
        <v>62</v>
      </c>
      <c r="AX72" s="17">
        <v>51</v>
      </c>
      <c r="AY72" s="18">
        <v>1.53</v>
      </c>
      <c r="BA72" s="5">
        <v>0.96</v>
      </c>
      <c r="BB72" s="5">
        <v>0.16</v>
      </c>
      <c r="BC72" s="21">
        <v>55</v>
      </c>
      <c r="BD72" s="17">
        <v>121</v>
      </c>
      <c r="BE72" s="21">
        <v>4.9000000000000004</v>
      </c>
      <c r="BF72" s="17">
        <v>90</v>
      </c>
      <c r="BH72" s="17">
        <v>774</v>
      </c>
      <c r="BI72" s="17">
        <v>1050</v>
      </c>
      <c r="BJ72" s="17">
        <v>544</v>
      </c>
      <c r="BK72" s="18">
        <v>10.4</v>
      </c>
      <c r="BL72" s="18">
        <v>6.5</v>
      </c>
      <c r="BM72" s="18">
        <v>7.11</v>
      </c>
      <c r="BN72" s="17">
        <v>21</v>
      </c>
      <c r="BO72" s="17">
        <v>91</v>
      </c>
      <c r="BP72" s="21">
        <v>6.6</v>
      </c>
      <c r="BQ72" s="21">
        <v>433</v>
      </c>
      <c r="BR72" s="18">
        <f>BO72/BQ72</f>
        <v>0.21016166281755197</v>
      </c>
      <c r="BU72" s="20">
        <v>19</v>
      </c>
      <c r="BV72" s="22">
        <v>32.234847500456446</v>
      </c>
      <c r="BW72" s="18">
        <f t="shared" si="49"/>
        <v>1</v>
      </c>
      <c r="BX72" s="18">
        <f t="shared" si="50"/>
        <v>0</v>
      </c>
      <c r="BY72" s="18">
        <f t="shared" si="51"/>
        <v>1</v>
      </c>
      <c r="BZ72" s="18">
        <f t="shared" si="52"/>
        <v>2</v>
      </c>
      <c r="CA72" s="22">
        <v>1</v>
      </c>
      <c r="CB72" s="22">
        <v>1</v>
      </c>
      <c r="CC72" s="22">
        <v>1</v>
      </c>
      <c r="CD72" s="22">
        <v>0</v>
      </c>
      <c r="CE72" s="22">
        <v>0</v>
      </c>
      <c r="CF72" s="22">
        <f t="shared" si="53"/>
        <v>3</v>
      </c>
      <c r="CG72" s="22">
        <v>2</v>
      </c>
      <c r="CH72" s="22">
        <v>3</v>
      </c>
      <c r="CI72" s="23">
        <v>0</v>
      </c>
      <c r="CJ72" s="23">
        <v>0</v>
      </c>
      <c r="CK72" s="23">
        <v>0</v>
      </c>
      <c r="CL72" s="23">
        <v>0</v>
      </c>
      <c r="CM72" s="23">
        <v>3</v>
      </c>
      <c r="CN72" s="23" t="s">
        <v>214</v>
      </c>
      <c r="CO72" s="18" t="s">
        <v>433</v>
      </c>
      <c r="CP72" s="18" t="s">
        <v>235</v>
      </c>
      <c r="CQ72" s="18">
        <v>150</v>
      </c>
      <c r="CR72" s="18">
        <v>1400</v>
      </c>
      <c r="CS72" s="18" t="s">
        <v>236</v>
      </c>
      <c r="CT72" s="18" t="s">
        <v>207</v>
      </c>
      <c r="CU72" s="17">
        <v>1050</v>
      </c>
      <c r="CV72" s="18" t="s">
        <v>209</v>
      </c>
      <c r="CW72" s="17">
        <v>2850</v>
      </c>
      <c r="CX72" s="21">
        <v>1.5</v>
      </c>
      <c r="CY72" s="17">
        <v>4300</v>
      </c>
      <c r="CZ72" s="17">
        <v>2000</v>
      </c>
      <c r="DA72" s="17">
        <v>700</v>
      </c>
      <c r="DB72" s="17">
        <v>1</v>
      </c>
      <c r="DC72" s="17">
        <v>0</v>
      </c>
      <c r="DD72" s="17">
        <v>4</v>
      </c>
      <c r="DE72" s="17">
        <v>125</v>
      </c>
      <c r="DF72" s="17">
        <v>18</v>
      </c>
      <c r="DG72" s="21">
        <v>12</v>
      </c>
      <c r="DH72" s="18">
        <v>4.3</v>
      </c>
      <c r="DI72" s="18">
        <v>132</v>
      </c>
      <c r="DJ72" s="18">
        <v>37</v>
      </c>
      <c r="DK72" s="17">
        <v>188</v>
      </c>
      <c r="DL72" s="21">
        <v>17</v>
      </c>
      <c r="DM72" s="21">
        <v>35.700000000000003</v>
      </c>
      <c r="DN72" s="18"/>
      <c r="DO72" s="18"/>
      <c r="DP72" s="21">
        <v>23</v>
      </c>
      <c r="DQ72" s="18">
        <v>0.83</v>
      </c>
      <c r="DR72" s="18">
        <v>110</v>
      </c>
      <c r="DY72" s="18">
        <v>133</v>
      </c>
      <c r="DZ72" s="18">
        <v>3.9</v>
      </c>
      <c r="EA72" s="18">
        <v>109</v>
      </c>
      <c r="EB72" s="18"/>
      <c r="EC72" s="18">
        <v>67</v>
      </c>
      <c r="ED72" s="17">
        <v>215</v>
      </c>
      <c r="EE72" s="18">
        <v>7.38</v>
      </c>
      <c r="EF72" s="18">
        <v>36</v>
      </c>
      <c r="EG72" s="18">
        <v>72</v>
      </c>
      <c r="EH72" s="18">
        <v>21</v>
      </c>
      <c r="EI72" s="18">
        <v>342</v>
      </c>
      <c r="EJ72" s="18">
        <f t="shared" si="44"/>
        <v>0.21052631578947367</v>
      </c>
      <c r="EL72" s="18"/>
      <c r="EM72" s="18">
        <v>15</v>
      </c>
      <c r="EN72" s="22">
        <v>4</v>
      </c>
      <c r="EO72" s="22">
        <v>5.0546156919954752</v>
      </c>
      <c r="EP72" s="18">
        <f t="shared" si="54"/>
        <v>1</v>
      </c>
      <c r="EQ72" s="18">
        <f t="shared" si="55"/>
        <v>0</v>
      </c>
      <c r="ER72" s="18">
        <f t="shared" si="56"/>
        <v>0</v>
      </c>
      <c r="ES72" s="18">
        <f t="shared" si="57"/>
        <v>1</v>
      </c>
      <c r="ET72" s="22">
        <v>0</v>
      </c>
      <c r="EU72" s="22">
        <v>0</v>
      </c>
      <c r="EV72" s="22">
        <v>1</v>
      </c>
      <c r="EW72" s="22">
        <v>0</v>
      </c>
      <c r="EX72" s="22">
        <v>0</v>
      </c>
      <c r="EY72" s="22">
        <f t="shared" si="58"/>
        <v>1</v>
      </c>
      <c r="EZ72" s="22">
        <v>2</v>
      </c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7">
        <v>215</v>
      </c>
      <c r="FT72" s="18"/>
      <c r="FU72" s="18"/>
      <c r="FV72" s="18"/>
      <c r="FW72" s="18"/>
      <c r="FX72" s="18"/>
      <c r="FY72" s="18"/>
      <c r="FZ72" s="18"/>
      <c r="GA72" s="18"/>
      <c r="GB72" s="22">
        <v>2</v>
      </c>
      <c r="GC72" s="22">
        <v>4</v>
      </c>
      <c r="GD72" s="22">
        <v>0</v>
      </c>
      <c r="GE72" s="18"/>
      <c r="GF72" s="18">
        <f t="shared" si="59"/>
        <v>0.79523809523809519</v>
      </c>
      <c r="GG72" s="17">
        <f>BI72-ED72</f>
        <v>835</v>
      </c>
      <c r="GH72" s="17">
        <f t="shared" si="60"/>
        <v>2</v>
      </c>
      <c r="GI72" s="17">
        <f t="shared" si="45"/>
        <v>15</v>
      </c>
    </row>
    <row r="73" spans="1:193" ht="18" customHeight="1" x14ac:dyDescent="0.45">
      <c r="A73" s="14">
        <v>71</v>
      </c>
      <c r="B73" s="35">
        <v>2220079202</v>
      </c>
      <c r="C73" s="15" t="s">
        <v>378</v>
      </c>
      <c r="D73" s="16">
        <v>1</v>
      </c>
      <c r="E73" s="17">
        <v>1983</v>
      </c>
      <c r="F73" s="17">
        <f t="shared" si="46"/>
        <v>40</v>
      </c>
      <c r="G73" s="18" t="s">
        <v>211</v>
      </c>
      <c r="H73" s="18" t="s">
        <v>234</v>
      </c>
      <c r="I73" s="17">
        <v>0</v>
      </c>
      <c r="J73" s="18">
        <f t="shared" si="47"/>
        <v>4.5599999999999996</v>
      </c>
      <c r="K73" s="17">
        <v>95</v>
      </c>
      <c r="L73" s="17">
        <v>170</v>
      </c>
      <c r="M73" s="18">
        <f t="shared" si="41"/>
        <v>32.871972318339104</v>
      </c>
      <c r="N73" s="17">
        <v>1</v>
      </c>
      <c r="O73" s="17">
        <v>1</v>
      </c>
      <c r="P73" s="17">
        <v>0</v>
      </c>
      <c r="Q73" s="17">
        <v>0</v>
      </c>
      <c r="R73" s="17">
        <v>1</v>
      </c>
      <c r="S73" s="17">
        <v>0</v>
      </c>
      <c r="T73" s="17">
        <v>0</v>
      </c>
      <c r="U73" s="17">
        <v>0</v>
      </c>
      <c r="V73" s="19">
        <v>44639</v>
      </c>
      <c r="W73" s="17">
        <v>24</v>
      </c>
      <c r="X73" s="20">
        <v>18</v>
      </c>
      <c r="Y73" s="17">
        <v>1</v>
      </c>
      <c r="Z73" s="17">
        <v>9</v>
      </c>
      <c r="AA73" s="17">
        <v>105</v>
      </c>
      <c r="AB73" s="17">
        <v>120</v>
      </c>
      <c r="AC73" s="17">
        <v>90</v>
      </c>
      <c r="AD73" s="18">
        <f t="shared" si="48"/>
        <v>100</v>
      </c>
      <c r="AE73" s="18">
        <v>20</v>
      </c>
      <c r="AF73" s="17">
        <v>36</v>
      </c>
      <c r="AG73" s="17">
        <v>1</v>
      </c>
      <c r="AH73" s="17">
        <v>1</v>
      </c>
      <c r="AI73" s="17">
        <v>0</v>
      </c>
      <c r="AJ73" s="17">
        <v>12</v>
      </c>
      <c r="AK73" s="18">
        <v>17.95</v>
      </c>
      <c r="AL73" s="18">
        <v>4.9000000000000004</v>
      </c>
      <c r="AM73" s="18">
        <v>155</v>
      </c>
      <c r="AN73" s="18">
        <v>46</v>
      </c>
      <c r="AO73" s="18">
        <v>310</v>
      </c>
      <c r="AP73" s="18">
        <v>12.6</v>
      </c>
      <c r="AQ73" s="18">
        <v>31</v>
      </c>
      <c r="AR73" s="18">
        <v>5.14</v>
      </c>
      <c r="AT73" s="18"/>
      <c r="AX73" s="17">
        <v>76.7</v>
      </c>
      <c r="AY73" s="18">
        <v>2.2000000000000002</v>
      </c>
      <c r="BA73" s="5">
        <v>0.3</v>
      </c>
      <c r="BB73" s="5">
        <v>0.22</v>
      </c>
      <c r="BC73" s="21">
        <v>33</v>
      </c>
      <c r="BD73" s="17">
        <v>126</v>
      </c>
      <c r="BE73" s="21">
        <v>5.09</v>
      </c>
      <c r="BF73" s="17">
        <v>93</v>
      </c>
      <c r="BH73" s="17">
        <v>2436</v>
      </c>
      <c r="BI73" s="17">
        <v>1183</v>
      </c>
      <c r="BJ73" s="17">
        <v>120</v>
      </c>
      <c r="BK73" s="18"/>
      <c r="BL73" s="18"/>
      <c r="BM73" s="18">
        <v>7.31</v>
      </c>
      <c r="BN73" s="17">
        <v>30</v>
      </c>
      <c r="BO73" s="17">
        <v>70</v>
      </c>
      <c r="BP73" s="21">
        <v>19</v>
      </c>
      <c r="BQ73" s="21">
        <v>320</v>
      </c>
      <c r="BR73" s="18">
        <f>BO73/BQ73</f>
        <v>0.21875</v>
      </c>
      <c r="BS73" s="10">
        <v>2.41</v>
      </c>
      <c r="BU73" s="20">
        <v>18</v>
      </c>
      <c r="BV73" s="22">
        <v>29.131623542908642</v>
      </c>
      <c r="BW73" s="18">
        <f t="shared" si="49"/>
        <v>1</v>
      </c>
      <c r="BX73" s="18">
        <f t="shared" si="50"/>
        <v>0</v>
      </c>
      <c r="BY73" s="18">
        <f t="shared" si="51"/>
        <v>1</v>
      </c>
      <c r="BZ73" s="18">
        <f t="shared" si="52"/>
        <v>2</v>
      </c>
      <c r="CA73" s="22">
        <v>1</v>
      </c>
      <c r="CB73" s="22">
        <v>1</v>
      </c>
      <c r="CC73" s="22">
        <v>1</v>
      </c>
      <c r="CD73" s="22">
        <v>0</v>
      </c>
      <c r="CE73" s="22">
        <v>0</v>
      </c>
      <c r="CF73" s="22">
        <f t="shared" si="53"/>
        <v>3</v>
      </c>
      <c r="CG73" s="22">
        <v>1</v>
      </c>
      <c r="CH73" s="22">
        <v>5</v>
      </c>
      <c r="CI73" s="23">
        <v>0</v>
      </c>
      <c r="CJ73" s="23">
        <v>1</v>
      </c>
      <c r="CK73" s="23">
        <v>0</v>
      </c>
      <c r="CL73" s="23">
        <v>0</v>
      </c>
      <c r="CM73" s="23">
        <v>6</v>
      </c>
      <c r="CN73" s="23" t="s">
        <v>219</v>
      </c>
      <c r="CO73" s="18">
        <v>0.71875</v>
      </c>
      <c r="CP73" s="18" t="s">
        <v>235</v>
      </c>
      <c r="CQ73" s="18">
        <v>200</v>
      </c>
      <c r="CR73" s="18">
        <v>1500</v>
      </c>
      <c r="CS73" s="18" t="s">
        <v>236</v>
      </c>
      <c r="CT73" s="18" t="s">
        <v>207</v>
      </c>
      <c r="CU73" s="17">
        <f>BI73</f>
        <v>1183</v>
      </c>
      <c r="CV73" s="18" t="s">
        <v>209</v>
      </c>
      <c r="CW73" s="17">
        <v>3000</v>
      </c>
      <c r="CX73" s="21">
        <v>2</v>
      </c>
      <c r="CY73" s="17">
        <v>5350</v>
      </c>
      <c r="CZ73" s="17">
        <v>3000</v>
      </c>
      <c r="DA73" s="17">
        <v>900</v>
      </c>
      <c r="DB73" s="17">
        <v>2</v>
      </c>
      <c r="DC73" s="17">
        <v>0</v>
      </c>
      <c r="DD73" s="17">
        <v>4</v>
      </c>
      <c r="DE73" s="17">
        <v>95</v>
      </c>
      <c r="DF73" s="17">
        <v>18</v>
      </c>
      <c r="DG73" s="21">
        <v>12.41</v>
      </c>
      <c r="DH73" s="18">
        <v>3.9</v>
      </c>
      <c r="DI73" s="18">
        <v>117</v>
      </c>
      <c r="DJ73" s="18">
        <v>36.4</v>
      </c>
      <c r="DK73" s="17">
        <v>202</v>
      </c>
      <c r="DL73" s="21">
        <v>40.700000000000003</v>
      </c>
      <c r="DM73" s="21">
        <v>140</v>
      </c>
      <c r="DN73" s="18"/>
      <c r="DO73" s="18">
        <v>1.26</v>
      </c>
      <c r="DP73" s="21">
        <v>33.479999999999997</v>
      </c>
      <c r="DQ73" s="18">
        <v>2.7</v>
      </c>
      <c r="DR73" s="18">
        <v>26</v>
      </c>
      <c r="DY73" s="18">
        <v>144</v>
      </c>
      <c r="DZ73" s="18">
        <v>4.7300000000000004</v>
      </c>
      <c r="EA73" s="18">
        <v>118</v>
      </c>
      <c r="EB73" s="18"/>
      <c r="EC73" s="18"/>
      <c r="ED73" s="17">
        <v>250.6</v>
      </c>
      <c r="EE73" s="18">
        <v>7.28</v>
      </c>
      <c r="EF73" s="18">
        <v>32</v>
      </c>
      <c r="EG73" s="18">
        <v>76</v>
      </c>
      <c r="EH73" s="18">
        <v>22</v>
      </c>
      <c r="EI73" s="18">
        <f>EG73/0.21</f>
        <v>361.90476190476193</v>
      </c>
      <c r="EJ73" s="18">
        <f t="shared" si="44"/>
        <v>0.21</v>
      </c>
      <c r="EL73" s="18"/>
      <c r="EM73" s="18">
        <v>15</v>
      </c>
      <c r="EN73" s="22">
        <v>8</v>
      </c>
      <c r="EO73" s="22">
        <v>8.7145290593121416</v>
      </c>
      <c r="EP73" s="18">
        <f t="shared" si="54"/>
        <v>1</v>
      </c>
      <c r="EQ73" s="18">
        <f t="shared" si="55"/>
        <v>0</v>
      </c>
      <c r="ER73" s="18">
        <f t="shared" si="56"/>
        <v>1</v>
      </c>
      <c r="ES73" s="18">
        <f t="shared" si="57"/>
        <v>2</v>
      </c>
      <c r="ET73" s="22">
        <v>1</v>
      </c>
      <c r="EU73" s="22">
        <v>0</v>
      </c>
      <c r="EV73" s="22">
        <v>1</v>
      </c>
      <c r="EW73" s="22">
        <v>0</v>
      </c>
      <c r="EX73" s="22">
        <v>0</v>
      </c>
      <c r="EY73" s="22">
        <f t="shared" si="58"/>
        <v>2</v>
      </c>
      <c r="EZ73" s="22">
        <v>5</v>
      </c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7">
        <v>250.6</v>
      </c>
      <c r="FT73" s="18"/>
      <c r="FU73" s="18"/>
      <c r="FV73" s="18"/>
      <c r="FW73" s="18"/>
      <c r="FX73" s="18"/>
      <c r="FY73" s="18"/>
      <c r="FZ73" s="18"/>
      <c r="GA73" s="18"/>
      <c r="GB73" s="22">
        <v>5</v>
      </c>
      <c r="GC73" s="22">
        <v>8</v>
      </c>
      <c r="GD73" s="22">
        <v>0</v>
      </c>
      <c r="GE73" s="18"/>
      <c r="GF73" s="18">
        <f t="shared" si="59"/>
        <v>0.78816568047337277</v>
      </c>
      <c r="GG73" s="17">
        <f>BI73-ED73</f>
        <v>932.4</v>
      </c>
      <c r="GH73" s="17">
        <f t="shared" si="60"/>
        <v>1</v>
      </c>
      <c r="GI73" s="17">
        <f t="shared" si="45"/>
        <v>10</v>
      </c>
    </row>
    <row r="74" spans="1:193" ht="18" customHeight="1" x14ac:dyDescent="0.45">
      <c r="A74" s="14">
        <v>72</v>
      </c>
      <c r="B74" s="35">
        <v>2210059008</v>
      </c>
      <c r="C74" s="15" t="s">
        <v>266</v>
      </c>
      <c r="D74" s="16">
        <v>1</v>
      </c>
      <c r="E74" s="17">
        <v>1978</v>
      </c>
      <c r="F74" s="17">
        <f t="shared" si="46"/>
        <v>45</v>
      </c>
      <c r="G74" s="18" t="s">
        <v>211</v>
      </c>
      <c r="H74" s="18" t="s">
        <v>350</v>
      </c>
      <c r="I74" s="17">
        <v>0</v>
      </c>
      <c r="J74" s="18">
        <f t="shared" si="47"/>
        <v>3.6480000000000001</v>
      </c>
      <c r="K74" s="17">
        <v>76</v>
      </c>
      <c r="L74" s="17">
        <v>170</v>
      </c>
      <c r="M74" s="18">
        <f t="shared" si="41"/>
        <v>26.297577854671282</v>
      </c>
      <c r="N74" s="17">
        <v>0</v>
      </c>
      <c r="O74" s="17">
        <v>1</v>
      </c>
      <c r="P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9" t="s">
        <v>351</v>
      </c>
      <c r="W74" s="17">
        <v>48</v>
      </c>
      <c r="X74" s="20">
        <v>31</v>
      </c>
      <c r="Y74" s="17">
        <v>1</v>
      </c>
      <c r="Z74" s="17">
        <v>10</v>
      </c>
      <c r="AA74" s="17">
        <v>130</v>
      </c>
      <c r="AB74" s="17">
        <v>100</v>
      </c>
      <c r="AC74" s="17">
        <v>60</v>
      </c>
      <c r="AD74" s="18">
        <f t="shared" si="48"/>
        <v>73.333333333333329</v>
      </c>
      <c r="AE74" s="18">
        <v>20</v>
      </c>
      <c r="AF74" s="17">
        <v>37</v>
      </c>
      <c r="AG74" s="17">
        <v>1</v>
      </c>
      <c r="AH74" s="17">
        <v>0</v>
      </c>
      <c r="AI74" s="17">
        <v>0</v>
      </c>
      <c r="AJ74" s="17">
        <v>5</v>
      </c>
      <c r="AK74" s="18">
        <v>7.71</v>
      </c>
      <c r="AL74" s="18">
        <v>4.9000000000000004</v>
      </c>
      <c r="AM74" s="18">
        <v>151</v>
      </c>
      <c r="AN74" s="18">
        <v>46.3</v>
      </c>
      <c r="AO74" s="18">
        <v>221</v>
      </c>
      <c r="AP74" s="18">
        <v>15</v>
      </c>
      <c r="AQ74" s="18">
        <v>27</v>
      </c>
      <c r="AR74" s="18">
        <v>7.9</v>
      </c>
      <c r="AS74" s="21">
        <v>354</v>
      </c>
      <c r="AT74" s="18"/>
      <c r="AX74" s="17">
        <v>14</v>
      </c>
      <c r="AY74" s="18">
        <v>2.5</v>
      </c>
      <c r="BA74" s="5">
        <v>0.5</v>
      </c>
      <c r="BB74" s="5">
        <v>0.76</v>
      </c>
      <c r="BC74" s="21">
        <v>39</v>
      </c>
      <c r="BD74" s="17">
        <v>122</v>
      </c>
      <c r="BE74" s="21">
        <v>4.8</v>
      </c>
      <c r="BF74" s="17">
        <v>91</v>
      </c>
      <c r="BG74" s="17">
        <v>933</v>
      </c>
      <c r="BH74" s="17">
        <v>1313</v>
      </c>
      <c r="BI74" s="17">
        <v>2660</v>
      </c>
      <c r="BJ74" s="17">
        <v>470</v>
      </c>
      <c r="BK74" s="18"/>
      <c r="BL74" s="18">
        <v>100</v>
      </c>
      <c r="BM74" s="18">
        <v>7.3</v>
      </c>
      <c r="BN74" s="17">
        <v>25</v>
      </c>
      <c r="BO74" s="17">
        <v>55</v>
      </c>
      <c r="BP74" s="21">
        <v>12.6</v>
      </c>
      <c r="BQ74" s="21">
        <f>BO74/BR74</f>
        <v>107.84313725490196</v>
      </c>
      <c r="BR74" s="18">
        <v>0.51</v>
      </c>
      <c r="BU74" s="20">
        <v>31</v>
      </c>
      <c r="BV74" s="22">
        <v>73.282440203207784</v>
      </c>
      <c r="BW74" s="18">
        <f t="shared" si="49"/>
        <v>1</v>
      </c>
      <c r="BX74" s="18">
        <f t="shared" si="50"/>
        <v>0</v>
      </c>
      <c r="BY74" s="18">
        <f t="shared" si="51"/>
        <v>0</v>
      </c>
      <c r="BZ74" s="18">
        <f t="shared" si="52"/>
        <v>1</v>
      </c>
      <c r="CA74" s="22">
        <v>0</v>
      </c>
      <c r="CB74" s="22">
        <v>1</v>
      </c>
      <c r="CC74" s="22">
        <v>0</v>
      </c>
      <c r="CD74" s="22">
        <v>0</v>
      </c>
      <c r="CE74" s="22">
        <v>0</v>
      </c>
      <c r="CF74" s="22">
        <f t="shared" si="53"/>
        <v>1</v>
      </c>
      <c r="CG74" s="22">
        <v>1</v>
      </c>
      <c r="CH74" s="22">
        <v>9</v>
      </c>
      <c r="CI74" s="23">
        <v>0</v>
      </c>
      <c r="CJ74" s="23">
        <v>0</v>
      </c>
      <c r="CK74" s="23">
        <v>0</v>
      </c>
      <c r="CL74" s="23">
        <v>0</v>
      </c>
      <c r="CM74" s="23">
        <v>4</v>
      </c>
      <c r="CN74" s="23" t="s">
        <v>203</v>
      </c>
      <c r="CO74" s="18" t="s">
        <v>352</v>
      </c>
      <c r="CP74" s="18" t="s">
        <v>205</v>
      </c>
      <c r="CQ74" s="18">
        <v>180</v>
      </c>
      <c r="CR74" s="18">
        <v>1500</v>
      </c>
      <c r="CS74" s="18" t="s">
        <v>206</v>
      </c>
      <c r="CT74" s="18" t="s">
        <v>207</v>
      </c>
      <c r="CU74" s="17">
        <f>BI74</f>
        <v>2660</v>
      </c>
      <c r="CV74" s="18" t="s">
        <v>208</v>
      </c>
      <c r="CW74" s="17">
        <v>2275</v>
      </c>
      <c r="CX74" s="21">
        <v>1.5</v>
      </c>
      <c r="CY74" s="17">
        <v>3400</v>
      </c>
      <c r="CZ74" s="17">
        <v>1600</v>
      </c>
      <c r="DA74" s="17">
        <v>400</v>
      </c>
      <c r="DB74" s="17">
        <v>1</v>
      </c>
      <c r="DC74" s="17">
        <v>3</v>
      </c>
      <c r="DD74" s="17">
        <v>3</v>
      </c>
      <c r="DE74" s="17">
        <v>110</v>
      </c>
      <c r="DF74" s="17">
        <v>16</v>
      </c>
      <c r="DG74" s="21">
        <v>3.5</v>
      </c>
      <c r="DH74" s="18">
        <v>3.6</v>
      </c>
      <c r="DI74" s="18">
        <v>109</v>
      </c>
      <c r="DJ74" s="18">
        <v>31</v>
      </c>
      <c r="DK74" s="17">
        <v>46</v>
      </c>
      <c r="DL74" s="21">
        <v>15</v>
      </c>
      <c r="DM74" s="21">
        <v>44.8</v>
      </c>
      <c r="DN74" s="18">
        <v>134</v>
      </c>
      <c r="DO74" s="18">
        <v>5</v>
      </c>
      <c r="DP74" s="21">
        <v>36</v>
      </c>
      <c r="DQ74" s="18">
        <v>5.8</v>
      </c>
      <c r="DR74" s="18">
        <v>11</v>
      </c>
      <c r="DY74" s="18">
        <v>145</v>
      </c>
      <c r="DZ74" s="18">
        <v>3.1</v>
      </c>
      <c r="EA74" s="18">
        <v>105</v>
      </c>
      <c r="EB74" s="18"/>
      <c r="EC74" s="18"/>
      <c r="ED74" s="17">
        <v>888</v>
      </c>
      <c r="EE74" s="18">
        <v>7.25</v>
      </c>
      <c r="EF74" s="18">
        <v>37</v>
      </c>
      <c r="EG74" s="18">
        <v>77</v>
      </c>
      <c r="EH74" s="18">
        <v>16.399999999999999</v>
      </c>
      <c r="EI74" s="18">
        <f>EG74/0.21</f>
        <v>366.66666666666669</v>
      </c>
      <c r="EJ74" s="18">
        <f t="shared" si="44"/>
        <v>0.21</v>
      </c>
      <c r="EL74" s="18"/>
      <c r="EM74" s="18">
        <v>7</v>
      </c>
      <c r="EN74" s="22">
        <v>26</v>
      </c>
      <c r="EO74" s="22">
        <v>56.93010435855571</v>
      </c>
      <c r="EP74" s="18">
        <f t="shared" si="54"/>
        <v>1</v>
      </c>
      <c r="EQ74" s="18">
        <f t="shared" si="55"/>
        <v>0</v>
      </c>
      <c r="ER74" s="18">
        <f t="shared" si="56"/>
        <v>1</v>
      </c>
      <c r="ES74" s="18">
        <f t="shared" si="57"/>
        <v>2</v>
      </c>
      <c r="ET74" s="22">
        <v>1</v>
      </c>
      <c r="EU74" s="22">
        <v>1</v>
      </c>
      <c r="EV74" s="22">
        <v>0</v>
      </c>
      <c r="EW74" s="22">
        <v>0</v>
      </c>
      <c r="EX74" s="22">
        <v>0</v>
      </c>
      <c r="EY74" s="22">
        <f t="shared" si="58"/>
        <v>2</v>
      </c>
      <c r="EZ74" s="22">
        <v>9</v>
      </c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7">
        <v>888</v>
      </c>
      <c r="FT74" s="18"/>
      <c r="FU74" s="18"/>
      <c r="FV74" s="18"/>
      <c r="FW74" s="18"/>
      <c r="FX74" s="18"/>
      <c r="FY74" s="18"/>
      <c r="FZ74" s="18"/>
      <c r="GA74" s="18"/>
      <c r="GB74" s="22">
        <v>9</v>
      </c>
      <c r="GC74" s="22">
        <v>26</v>
      </c>
      <c r="GD74" s="22">
        <v>0</v>
      </c>
      <c r="GE74" s="18"/>
      <c r="GF74" s="18">
        <f t="shared" si="59"/>
        <v>0.66616541353383463</v>
      </c>
      <c r="GG74" s="17">
        <f>BI74-ED74</f>
        <v>1772</v>
      </c>
      <c r="GH74" s="17">
        <f t="shared" si="60"/>
        <v>-1</v>
      </c>
      <c r="GI74" s="17">
        <f t="shared" si="45"/>
        <v>5</v>
      </c>
    </row>
    <row r="75" spans="1:193" ht="18" customHeight="1" x14ac:dyDescent="0.45">
      <c r="A75" s="14">
        <v>73</v>
      </c>
      <c r="B75" s="35">
        <v>2200083491</v>
      </c>
      <c r="C75" s="15" t="s">
        <v>404</v>
      </c>
      <c r="D75" s="16">
        <v>0</v>
      </c>
      <c r="E75" s="17">
        <v>1979</v>
      </c>
      <c r="F75" s="17">
        <f t="shared" si="46"/>
        <v>44</v>
      </c>
      <c r="G75" s="18" t="s">
        <v>200</v>
      </c>
      <c r="H75" s="18" t="s">
        <v>301</v>
      </c>
      <c r="I75" s="17">
        <v>0</v>
      </c>
      <c r="J75" s="18">
        <f t="shared" si="47"/>
        <v>4.1760000000000002</v>
      </c>
      <c r="K75" s="17">
        <v>87</v>
      </c>
      <c r="L75" s="17">
        <v>165</v>
      </c>
      <c r="M75" s="18">
        <f t="shared" si="41"/>
        <v>31.955922865013779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1</v>
      </c>
      <c r="U75" s="17">
        <v>1</v>
      </c>
      <c r="V75" s="19" t="s">
        <v>368</v>
      </c>
      <c r="W75" s="17">
        <v>12</v>
      </c>
      <c r="X75" s="20">
        <v>10</v>
      </c>
      <c r="Y75" s="17">
        <v>1</v>
      </c>
      <c r="Z75" s="17">
        <v>8</v>
      </c>
      <c r="AA75" s="17">
        <v>70</v>
      </c>
      <c r="AB75" s="17">
        <v>110</v>
      </c>
      <c r="AC75" s="17">
        <v>70</v>
      </c>
      <c r="AD75" s="18">
        <f t="shared" si="48"/>
        <v>83.333333333333329</v>
      </c>
      <c r="AE75" s="18">
        <v>20</v>
      </c>
      <c r="AF75" s="17">
        <v>37</v>
      </c>
      <c r="AG75" s="17">
        <v>1</v>
      </c>
      <c r="AH75" s="17">
        <v>0</v>
      </c>
      <c r="AI75" s="17">
        <v>0</v>
      </c>
      <c r="AJ75" s="17">
        <v>14</v>
      </c>
      <c r="AK75" s="18">
        <v>15.8</v>
      </c>
      <c r="AL75" s="18">
        <v>5.5</v>
      </c>
      <c r="AM75" s="18">
        <v>265</v>
      </c>
      <c r="AN75" s="18">
        <v>47</v>
      </c>
      <c r="AO75" s="18">
        <v>208</v>
      </c>
      <c r="AP75" s="18">
        <v>13</v>
      </c>
      <c r="AQ75" s="18">
        <v>30.7</v>
      </c>
      <c r="AR75" s="18">
        <v>3.4</v>
      </c>
      <c r="AS75" s="21">
        <v>82</v>
      </c>
      <c r="AT75" s="18"/>
      <c r="AX75" s="17">
        <v>18</v>
      </c>
      <c r="AY75" s="18">
        <v>1.3</v>
      </c>
      <c r="BA75" s="5">
        <v>0.97</v>
      </c>
      <c r="BB75" s="5">
        <v>0.12</v>
      </c>
      <c r="BC75" s="21">
        <v>67</v>
      </c>
      <c r="BD75" s="17">
        <v>132</v>
      </c>
      <c r="BE75" s="21">
        <v>3.6</v>
      </c>
      <c r="BF75" s="17">
        <v>96</v>
      </c>
      <c r="BG75" s="17">
        <v>2580</v>
      </c>
      <c r="BH75" s="17">
        <v>2583</v>
      </c>
      <c r="BI75" s="17">
        <v>3020</v>
      </c>
      <c r="BJ75" s="17">
        <v>157</v>
      </c>
      <c r="BK75" s="18"/>
      <c r="BL75" s="18"/>
      <c r="BM75" s="18">
        <v>7.2</v>
      </c>
      <c r="BN75" s="17">
        <v>33</v>
      </c>
      <c r="BO75" s="17">
        <v>213</v>
      </c>
      <c r="BP75" s="21">
        <v>14</v>
      </c>
      <c r="BQ75" s="21">
        <f>BO75/BR75</f>
        <v>426</v>
      </c>
      <c r="BR75" s="18">
        <v>0.5</v>
      </c>
      <c r="BS75" s="10">
        <v>2.0699999999999998</v>
      </c>
      <c r="BT75" s="18">
        <v>4.4000000000000004</v>
      </c>
      <c r="BU75" s="20">
        <v>10</v>
      </c>
      <c r="BV75" s="22">
        <v>11.334697884966939</v>
      </c>
      <c r="BW75" s="18">
        <f t="shared" si="49"/>
        <v>0</v>
      </c>
      <c r="BX75" s="18">
        <f t="shared" si="50"/>
        <v>0</v>
      </c>
      <c r="BY75" s="18">
        <f t="shared" si="51"/>
        <v>0</v>
      </c>
      <c r="BZ75" s="18">
        <f t="shared" si="52"/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1</v>
      </c>
      <c r="CF75" s="22">
        <f t="shared" si="53"/>
        <v>1</v>
      </c>
      <c r="CG75" s="22">
        <v>0</v>
      </c>
      <c r="CH75" s="22">
        <v>2</v>
      </c>
      <c r="CI75" s="23">
        <v>0</v>
      </c>
      <c r="CJ75" s="23">
        <v>0</v>
      </c>
      <c r="CK75" s="23">
        <v>1</v>
      </c>
      <c r="CL75" s="23">
        <v>0</v>
      </c>
      <c r="CM75" s="23">
        <v>8</v>
      </c>
      <c r="CN75" s="23" t="s">
        <v>203</v>
      </c>
      <c r="CO75" s="18" t="s">
        <v>369</v>
      </c>
      <c r="CP75" s="18" t="s">
        <v>205</v>
      </c>
      <c r="CQ75" s="18">
        <v>150</v>
      </c>
      <c r="CR75" s="18">
        <v>1200</v>
      </c>
      <c r="CS75" s="18" t="s">
        <v>206</v>
      </c>
      <c r="CT75" s="18" t="s">
        <v>207</v>
      </c>
      <c r="CU75" s="17">
        <v>3020</v>
      </c>
      <c r="CV75" s="18" t="s">
        <v>209</v>
      </c>
      <c r="CW75" s="17">
        <v>2000</v>
      </c>
      <c r="CX75" s="21">
        <v>1.5</v>
      </c>
      <c r="CY75" s="17">
        <v>3000</v>
      </c>
      <c r="DB75" s="17">
        <v>1</v>
      </c>
      <c r="DC75" s="17">
        <v>1</v>
      </c>
      <c r="DD75" s="17">
        <v>5</v>
      </c>
      <c r="DE75" s="17">
        <v>60</v>
      </c>
      <c r="DF75" s="17">
        <v>16</v>
      </c>
      <c r="DG75" s="21">
        <v>6.8</v>
      </c>
      <c r="DH75" s="18">
        <v>5.4</v>
      </c>
      <c r="DI75" s="18">
        <v>98</v>
      </c>
      <c r="DJ75" s="18">
        <v>33</v>
      </c>
      <c r="DK75" s="17">
        <v>118</v>
      </c>
      <c r="DL75" s="21">
        <v>30</v>
      </c>
      <c r="DM75" s="21">
        <v>67</v>
      </c>
      <c r="DN75" s="18"/>
      <c r="DO75" s="18">
        <v>2.54</v>
      </c>
      <c r="DP75" s="21">
        <v>18</v>
      </c>
      <c r="DQ75" s="18">
        <v>1.86</v>
      </c>
      <c r="DR75" s="18">
        <v>43</v>
      </c>
      <c r="DY75" s="18">
        <v>135</v>
      </c>
      <c r="DZ75" s="18">
        <v>4.7</v>
      </c>
      <c r="EA75" s="18">
        <v>105</v>
      </c>
      <c r="EB75" s="18"/>
      <c r="EC75" s="18">
        <v>1114</v>
      </c>
      <c r="ED75" s="17">
        <v>387</v>
      </c>
      <c r="EE75" s="18">
        <v>7.21</v>
      </c>
      <c r="EF75" s="18">
        <v>44</v>
      </c>
      <c r="EG75" s="18">
        <v>80</v>
      </c>
      <c r="EH75" s="18">
        <v>16</v>
      </c>
      <c r="EI75" s="18">
        <f>EG75/0.21</f>
        <v>380.95238095238096</v>
      </c>
      <c r="EJ75" s="18">
        <f t="shared" si="44"/>
        <v>0.21</v>
      </c>
      <c r="EL75" s="18"/>
      <c r="EM75" s="18">
        <v>14</v>
      </c>
      <c r="EN75" s="22">
        <v>9</v>
      </c>
      <c r="EO75" s="22">
        <v>9.9481411429015392</v>
      </c>
      <c r="EP75" s="18">
        <f t="shared" si="54"/>
        <v>0</v>
      </c>
      <c r="EQ75" s="18">
        <f t="shared" si="55"/>
        <v>0</v>
      </c>
      <c r="ER75" s="18">
        <f t="shared" si="56"/>
        <v>0</v>
      </c>
      <c r="ES75" s="18">
        <f t="shared" si="57"/>
        <v>0</v>
      </c>
      <c r="ET75" s="22">
        <v>0</v>
      </c>
      <c r="EU75" s="22">
        <v>0</v>
      </c>
      <c r="EV75" s="22">
        <v>0</v>
      </c>
      <c r="EW75" s="22">
        <v>0</v>
      </c>
      <c r="EX75" s="22">
        <v>1</v>
      </c>
      <c r="EY75" s="22">
        <f t="shared" si="58"/>
        <v>1</v>
      </c>
      <c r="EZ75" s="22">
        <v>1</v>
      </c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7">
        <v>387</v>
      </c>
      <c r="FT75" s="18"/>
      <c r="FU75" s="18"/>
      <c r="FV75" s="18"/>
      <c r="FW75" s="18"/>
      <c r="FX75" s="18"/>
      <c r="FY75" s="18"/>
      <c r="FZ75" s="18"/>
      <c r="GA75" s="18"/>
      <c r="GB75" s="22">
        <v>1</v>
      </c>
      <c r="GC75" s="22">
        <v>9</v>
      </c>
      <c r="GD75" s="22">
        <v>0</v>
      </c>
      <c r="GE75" s="18"/>
      <c r="GF75" s="18">
        <f t="shared" si="59"/>
        <v>0.87185430463576163</v>
      </c>
      <c r="GG75" s="17">
        <f>BI75-FS75</f>
        <v>2633</v>
      </c>
      <c r="GH75" s="17">
        <f t="shared" si="60"/>
        <v>0</v>
      </c>
      <c r="GI75" s="17">
        <f t="shared" si="45"/>
        <v>1</v>
      </c>
    </row>
    <row r="76" spans="1:193" ht="18" customHeight="1" x14ac:dyDescent="0.45">
      <c r="A76" s="14">
        <v>74</v>
      </c>
      <c r="B76" s="35">
        <v>2210067450</v>
      </c>
      <c r="C76" s="15" t="s">
        <v>413</v>
      </c>
      <c r="D76" s="16">
        <v>0</v>
      </c>
      <c r="E76" s="17">
        <v>1979</v>
      </c>
      <c r="F76" s="17">
        <f t="shared" si="46"/>
        <v>44</v>
      </c>
      <c r="G76" s="18" t="s">
        <v>200</v>
      </c>
      <c r="H76" s="18" t="s">
        <v>212</v>
      </c>
      <c r="I76" s="17">
        <v>1</v>
      </c>
      <c r="J76" s="18">
        <f t="shared" si="47"/>
        <v>3.84</v>
      </c>
      <c r="K76" s="17">
        <v>80</v>
      </c>
      <c r="L76" s="17">
        <v>167</v>
      </c>
      <c r="M76" s="18">
        <f t="shared" ref="M76:M95" si="61">K76/(L76/100)^2</f>
        <v>28.685144680698485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1</v>
      </c>
      <c r="U76" s="17">
        <v>2</v>
      </c>
      <c r="V76" s="19" t="s">
        <v>328</v>
      </c>
      <c r="W76" s="17">
        <v>12</v>
      </c>
      <c r="X76" s="20">
        <v>10</v>
      </c>
      <c r="Y76" s="17">
        <v>1</v>
      </c>
      <c r="Z76" s="17">
        <v>7</v>
      </c>
      <c r="AA76" s="17">
        <v>112</v>
      </c>
      <c r="AB76" s="17">
        <v>100</v>
      </c>
      <c r="AC76" s="17">
        <v>60</v>
      </c>
      <c r="AD76" s="18">
        <f t="shared" si="48"/>
        <v>73.333333333333329</v>
      </c>
      <c r="AE76" s="18">
        <v>28</v>
      </c>
      <c r="AF76" s="17">
        <v>37</v>
      </c>
      <c r="AG76" s="17">
        <v>1</v>
      </c>
      <c r="AH76" s="17">
        <v>1</v>
      </c>
      <c r="AI76" s="17">
        <v>0</v>
      </c>
      <c r="AJ76" s="17">
        <v>14</v>
      </c>
      <c r="AK76" s="18">
        <v>12.62</v>
      </c>
      <c r="AL76" s="18">
        <v>4.8899999999999997</v>
      </c>
      <c r="AM76" s="18">
        <v>169</v>
      </c>
      <c r="AN76" s="18">
        <v>43.5</v>
      </c>
      <c r="AO76" s="18">
        <v>273</v>
      </c>
      <c r="AP76" s="18">
        <v>12.3</v>
      </c>
      <c r="AQ76" s="18">
        <v>29.5</v>
      </c>
      <c r="AR76" s="18">
        <v>4.84</v>
      </c>
      <c r="AT76" s="18"/>
      <c r="AX76" s="17">
        <v>11</v>
      </c>
      <c r="AY76" s="18">
        <v>0.61</v>
      </c>
      <c r="BC76" s="21">
        <v>113</v>
      </c>
      <c r="BD76" s="17">
        <v>133</v>
      </c>
      <c r="BE76" s="21">
        <v>4.4000000000000004</v>
      </c>
      <c r="BF76" s="17">
        <v>104</v>
      </c>
      <c r="BG76" s="17">
        <v>650</v>
      </c>
      <c r="BI76" s="17">
        <v>9910</v>
      </c>
      <c r="BJ76" s="17">
        <v>159</v>
      </c>
      <c r="BK76" s="18"/>
      <c r="BL76" s="18"/>
      <c r="BM76" s="18">
        <v>7.2539999999999996</v>
      </c>
      <c r="BN76" s="17">
        <v>43.5</v>
      </c>
      <c r="BO76" s="17">
        <v>100</v>
      </c>
      <c r="BP76" s="21">
        <v>19</v>
      </c>
      <c r="BQ76" s="21">
        <v>143.19999999999999</v>
      </c>
      <c r="BR76" s="18">
        <v>0.7</v>
      </c>
      <c r="BS76" s="10">
        <v>2.56</v>
      </c>
      <c r="BT76" s="18">
        <v>1.7</v>
      </c>
      <c r="BU76" s="20">
        <v>10</v>
      </c>
      <c r="BV76" s="22">
        <v>11.334697884966939</v>
      </c>
      <c r="BW76" s="18">
        <f t="shared" si="49"/>
        <v>1</v>
      </c>
      <c r="BX76" s="18">
        <f t="shared" si="50"/>
        <v>1</v>
      </c>
      <c r="BY76" s="18">
        <f t="shared" si="51"/>
        <v>0</v>
      </c>
      <c r="BZ76" s="18">
        <f t="shared" si="52"/>
        <v>2</v>
      </c>
      <c r="CA76" s="22">
        <v>0</v>
      </c>
      <c r="CB76" s="22">
        <v>0</v>
      </c>
      <c r="CC76" s="22">
        <v>1</v>
      </c>
      <c r="CD76" s="22">
        <v>0</v>
      </c>
      <c r="CE76" s="22">
        <v>1</v>
      </c>
      <c r="CF76" s="22">
        <f t="shared" si="53"/>
        <v>2</v>
      </c>
      <c r="CG76" s="22">
        <v>0</v>
      </c>
      <c r="CH76" s="22">
        <v>4</v>
      </c>
      <c r="CI76" s="23">
        <v>1</v>
      </c>
      <c r="CJ76" s="23">
        <v>0</v>
      </c>
      <c r="CK76" s="23">
        <v>0</v>
      </c>
      <c r="CL76" s="23">
        <v>0</v>
      </c>
      <c r="CM76" s="23">
        <v>6</v>
      </c>
      <c r="CN76" s="23" t="s">
        <v>203</v>
      </c>
      <c r="CO76" s="18" t="s">
        <v>329</v>
      </c>
      <c r="CP76" s="18" t="s">
        <v>235</v>
      </c>
      <c r="CQ76" s="18">
        <v>200</v>
      </c>
      <c r="CR76" s="18">
        <v>1500</v>
      </c>
      <c r="CS76" s="18" t="s">
        <v>236</v>
      </c>
      <c r="CT76" s="18" t="s">
        <v>207</v>
      </c>
      <c r="CU76" s="17">
        <f>BI76</f>
        <v>9910</v>
      </c>
      <c r="CV76" s="18" t="s">
        <v>209</v>
      </c>
      <c r="CW76" s="17">
        <v>2156</v>
      </c>
      <c r="CX76" s="21">
        <v>1.5</v>
      </c>
      <c r="CY76" s="17">
        <v>3200</v>
      </c>
      <c r="DB76" s="17">
        <v>1</v>
      </c>
      <c r="DC76" s="17">
        <v>2</v>
      </c>
      <c r="DD76" s="17">
        <v>3</v>
      </c>
      <c r="DE76" s="17">
        <v>92</v>
      </c>
      <c r="DF76" s="17">
        <v>24</v>
      </c>
      <c r="DG76" s="21">
        <v>13.94</v>
      </c>
      <c r="DH76" s="18">
        <v>3.58</v>
      </c>
      <c r="DI76" s="18">
        <v>105</v>
      </c>
      <c r="DJ76" s="18">
        <v>30.9</v>
      </c>
      <c r="DK76" s="17">
        <v>76</v>
      </c>
      <c r="DL76" s="21">
        <v>18.600000000000001</v>
      </c>
      <c r="DM76" s="21">
        <v>46.2</v>
      </c>
      <c r="DN76" s="18">
        <v>87.2</v>
      </c>
      <c r="DO76" s="18">
        <v>3.67</v>
      </c>
      <c r="DP76" s="21">
        <v>6</v>
      </c>
      <c r="DQ76" s="18">
        <v>0.51</v>
      </c>
      <c r="DR76" s="18">
        <v>120.8</v>
      </c>
      <c r="DY76" s="18">
        <v>136</v>
      </c>
      <c r="DZ76" s="18">
        <v>3.3</v>
      </c>
      <c r="EA76" s="18">
        <v>107</v>
      </c>
      <c r="EB76" s="18">
        <v>381</v>
      </c>
      <c r="EC76" s="18">
        <v>371</v>
      </c>
      <c r="ED76" s="17">
        <v>415</v>
      </c>
      <c r="EE76" s="18">
        <v>7.4450000000000003</v>
      </c>
      <c r="EF76" s="18">
        <v>40.200000000000003</v>
      </c>
      <c r="EG76" s="18">
        <v>96.8</v>
      </c>
      <c r="EH76" s="18">
        <v>28.6</v>
      </c>
      <c r="EI76" s="18">
        <v>246</v>
      </c>
      <c r="EJ76" s="18">
        <f t="shared" si="44"/>
        <v>0.39349593495934959</v>
      </c>
      <c r="EL76" s="18">
        <v>1</v>
      </c>
      <c r="EM76" s="18">
        <v>14</v>
      </c>
      <c r="EN76" s="22">
        <v>7</v>
      </c>
      <c r="EO76" s="22">
        <v>7.620944279833977</v>
      </c>
      <c r="EP76" s="18">
        <f t="shared" si="54"/>
        <v>1</v>
      </c>
      <c r="EQ76" s="18">
        <f t="shared" si="55"/>
        <v>1</v>
      </c>
      <c r="ER76" s="18">
        <f t="shared" si="56"/>
        <v>0</v>
      </c>
      <c r="ES76" s="18">
        <f t="shared" si="57"/>
        <v>2</v>
      </c>
      <c r="ET76" s="22">
        <v>0</v>
      </c>
      <c r="EU76" s="22">
        <v>0</v>
      </c>
      <c r="EV76" s="22">
        <v>1</v>
      </c>
      <c r="EW76" s="22">
        <v>0</v>
      </c>
      <c r="EX76" s="22">
        <v>1</v>
      </c>
      <c r="EY76" s="22">
        <f t="shared" si="58"/>
        <v>2</v>
      </c>
      <c r="EZ76" s="22">
        <v>4</v>
      </c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7">
        <v>415</v>
      </c>
      <c r="FT76" s="18"/>
      <c r="FU76" s="18"/>
      <c r="FV76" s="18"/>
      <c r="FW76" s="18"/>
      <c r="FX76" s="18"/>
      <c r="FY76" s="18"/>
      <c r="FZ76" s="18"/>
      <c r="GA76" s="18"/>
      <c r="GB76" s="22">
        <v>4</v>
      </c>
      <c r="GC76" s="22">
        <v>7</v>
      </c>
      <c r="GD76" s="22">
        <v>0</v>
      </c>
      <c r="GE76" s="18"/>
      <c r="GF76" s="18">
        <f t="shared" si="59"/>
        <v>0.95812310797174571</v>
      </c>
      <c r="GG76" s="17">
        <f t="shared" ref="GG76:GG95" si="62">BI76-ED76</f>
        <v>9495</v>
      </c>
      <c r="GH76" s="17">
        <f t="shared" si="60"/>
        <v>0</v>
      </c>
      <c r="GI76" s="17">
        <f t="shared" si="45"/>
        <v>3</v>
      </c>
    </row>
    <row r="77" spans="1:193" ht="18" customHeight="1" x14ac:dyDescent="0.45">
      <c r="A77" s="14">
        <v>75</v>
      </c>
      <c r="B77" s="35">
        <v>2220003826</v>
      </c>
      <c r="C77" s="15" t="s">
        <v>399</v>
      </c>
      <c r="D77" s="16">
        <v>0</v>
      </c>
      <c r="E77" s="17">
        <v>1987</v>
      </c>
      <c r="F77" s="17">
        <f t="shared" si="46"/>
        <v>36</v>
      </c>
      <c r="G77" s="18" t="s">
        <v>211</v>
      </c>
      <c r="H77" s="18" t="s">
        <v>234</v>
      </c>
      <c r="I77" s="17">
        <v>0</v>
      </c>
      <c r="J77" s="18">
        <f t="shared" si="47"/>
        <v>4.32</v>
      </c>
      <c r="K77" s="17">
        <v>90</v>
      </c>
      <c r="L77" s="17">
        <v>176</v>
      </c>
      <c r="M77" s="18">
        <f t="shared" si="61"/>
        <v>29.054752066115704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1</v>
      </c>
      <c r="U77" s="17">
        <v>1</v>
      </c>
      <c r="V77" s="19">
        <v>44475</v>
      </c>
      <c r="W77" s="17">
        <v>12</v>
      </c>
      <c r="X77" s="20">
        <v>8</v>
      </c>
      <c r="Y77" s="17">
        <v>1</v>
      </c>
      <c r="Z77" s="17">
        <v>9</v>
      </c>
      <c r="AA77" s="17">
        <v>120</v>
      </c>
      <c r="AB77" s="17">
        <v>130</v>
      </c>
      <c r="AC77" s="17">
        <v>90</v>
      </c>
      <c r="AD77" s="18">
        <f t="shared" si="48"/>
        <v>103.33333333333333</v>
      </c>
      <c r="AE77" s="18">
        <v>20</v>
      </c>
      <c r="AF77" s="17">
        <v>37</v>
      </c>
      <c r="AG77" s="17">
        <v>1</v>
      </c>
      <c r="AH77" s="17">
        <v>0</v>
      </c>
      <c r="AI77" s="17">
        <v>0</v>
      </c>
      <c r="AJ77" s="17">
        <v>14</v>
      </c>
      <c r="AK77" s="18">
        <v>18</v>
      </c>
      <c r="AL77" s="18">
        <v>5.53</v>
      </c>
      <c r="AM77" s="18">
        <v>183</v>
      </c>
      <c r="AN77" s="18">
        <v>46</v>
      </c>
      <c r="AO77" s="18">
        <v>246</v>
      </c>
      <c r="AP77" s="18">
        <v>12.3</v>
      </c>
      <c r="AQ77" s="18">
        <v>33.700000000000003</v>
      </c>
      <c r="AR77" s="18"/>
      <c r="AS77" s="21">
        <v>7.3</v>
      </c>
      <c r="AT77" s="18"/>
      <c r="AX77" s="17">
        <v>23</v>
      </c>
      <c r="AY77" s="18">
        <v>1.18</v>
      </c>
      <c r="BA77" s="5">
        <v>1.5</v>
      </c>
      <c r="BB77" s="5">
        <v>1.4</v>
      </c>
      <c r="BC77" s="21">
        <v>71</v>
      </c>
      <c r="BD77" s="17">
        <v>126</v>
      </c>
      <c r="BE77" s="21">
        <v>3.87</v>
      </c>
      <c r="BF77" s="17">
        <v>90</v>
      </c>
      <c r="BH77" s="17">
        <v>533</v>
      </c>
      <c r="BI77" s="17">
        <v>1300</v>
      </c>
      <c r="BJ77" s="17">
        <v>67</v>
      </c>
      <c r="BK77" s="18"/>
      <c r="BL77" s="18"/>
      <c r="BM77" s="18">
        <v>7.36</v>
      </c>
      <c r="BO77" s="17">
        <v>67</v>
      </c>
      <c r="BP77" s="21">
        <v>24</v>
      </c>
      <c r="BQ77" s="21">
        <v>400</v>
      </c>
      <c r="BR77" s="18"/>
      <c r="BU77" s="20">
        <v>8</v>
      </c>
      <c r="BV77" s="22">
        <v>8.7145290593121416</v>
      </c>
      <c r="BW77" s="18">
        <f t="shared" si="49"/>
        <v>1</v>
      </c>
      <c r="BX77" s="18">
        <f t="shared" si="50"/>
        <v>0</v>
      </c>
      <c r="BY77" s="18">
        <f t="shared" si="51"/>
        <v>0</v>
      </c>
      <c r="BZ77" s="18">
        <f t="shared" si="52"/>
        <v>1</v>
      </c>
      <c r="CA77" s="22">
        <v>0</v>
      </c>
      <c r="CB77" s="22">
        <v>0</v>
      </c>
      <c r="CC77" s="22">
        <v>1</v>
      </c>
      <c r="CD77" s="22">
        <v>0</v>
      </c>
      <c r="CE77" s="22">
        <v>0</v>
      </c>
      <c r="CF77" s="22">
        <f t="shared" si="53"/>
        <v>1</v>
      </c>
      <c r="CG77" s="22">
        <v>1</v>
      </c>
      <c r="CH77" s="22">
        <v>2</v>
      </c>
      <c r="CI77" s="23">
        <v>0</v>
      </c>
      <c r="CJ77" s="23">
        <v>1</v>
      </c>
      <c r="CK77" s="23">
        <v>0</v>
      </c>
      <c r="CL77" s="23">
        <v>0</v>
      </c>
      <c r="CM77" s="23">
        <v>4</v>
      </c>
      <c r="CN77" s="23" t="s">
        <v>219</v>
      </c>
      <c r="CO77" s="18" t="s">
        <v>418</v>
      </c>
      <c r="CP77" s="18" t="s">
        <v>235</v>
      </c>
      <c r="CQ77" s="18">
        <v>180</v>
      </c>
      <c r="CR77" s="18">
        <v>1200</v>
      </c>
      <c r="CS77" s="18" t="s">
        <v>236</v>
      </c>
      <c r="CT77" s="18" t="s">
        <v>207</v>
      </c>
      <c r="CU77" s="17">
        <v>2800</v>
      </c>
      <c r="CV77" s="18" t="s">
        <v>209</v>
      </c>
      <c r="CW77" s="17">
        <v>3300</v>
      </c>
      <c r="CX77" s="21">
        <v>1.5</v>
      </c>
      <c r="CY77" s="17">
        <v>5000</v>
      </c>
      <c r="CZ77" s="17">
        <v>2500</v>
      </c>
      <c r="DA77" s="17">
        <v>800</v>
      </c>
      <c r="DB77" s="17">
        <v>1</v>
      </c>
      <c r="DC77" s="17">
        <v>0</v>
      </c>
      <c r="DD77" s="17">
        <v>4</v>
      </c>
      <c r="DE77" s="17">
        <v>100</v>
      </c>
      <c r="DF77" s="17">
        <v>17</v>
      </c>
      <c r="DG77" s="21">
        <v>14.5</v>
      </c>
      <c r="DH77" s="18">
        <v>4.2</v>
      </c>
      <c r="DI77" s="18">
        <v>125</v>
      </c>
      <c r="DJ77" s="18">
        <v>36</v>
      </c>
      <c r="DK77" s="17">
        <v>165</v>
      </c>
      <c r="DL77" s="21">
        <v>18.899999999999999</v>
      </c>
      <c r="DM77" s="21">
        <v>53.4</v>
      </c>
      <c r="DN77" s="18"/>
      <c r="DO77" s="18">
        <v>2.8</v>
      </c>
      <c r="DP77" s="21">
        <v>23</v>
      </c>
      <c r="DQ77" s="18">
        <v>1.48</v>
      </c>
      <c r="DR77" s="18">
        <v>67</v>
      </c>
      <c r="DY77" s="18">
        <v>139</v>
      </c>
      <c r="DZ77" s="18">
        <v>3.4</v>
      </c>
      <c r="EA77" s="18">
        <v>112</v>
      </c>
      <c r="EB77" s="18"/>
      <c r="EC77" s="18">
        <v>58</v>
      </c>
      <c r="ED77" s="17">
        <v>380</v>
      </c>
      <c r="EE77" s="18">
        <v>7.37</v>
      </c>
      <c r="EF77" s="18">
        <v>37</v>
      </c>
      <c r="EG77" s="18">
        <v>77</v>
      </c>
      <c r="EH77" s="18">
        <v>23</v>
      </c>
      <c r="EI77" s="18">
        <f>EG77/0.21</f>
        <v>366.66666666666669</v>
      </c>
      <c r="EJ77" s="18">
        <f t="shared" si="44"/>
        <v>0.21</v>
      </c>
      <c r="EL77" s="18"/>
      <c r="EM77" s="18">
        <v>15</v>
      </c>
      <c r="EN77" s="22">
        <v>3</v>
      </c>
      <c r="EO77" s="22">
        <v>4.3981843668079526</v>
      </c>
      <c r="EP77" s="18">
        <f t="shared" si="54"/>
        <v>1</v>
      </c>
      <c r="EQ77" s="18">
        <f t="shared" si="55"/>
        <v>0</v>
      </c>
      <c r="ER77" s="18">
        <f t="shared" si="56"/>
        <v>0</v>
      </c>
      <c r="ES77" s="18">
        <f t="shared" si="57"/>
        <v>1</v>
      </c>
      <c r="ET77" s="22">
        <v>0</v>
      </c>
      <c r="EU77" s="22">
        <v>0</v>
      </c>
      <c r="EV77" s="22">
        <v>1</v>
      </c>
      <c r="EW77" s="22">
        <v>0</v>
      </c>
      <c r="EX77" s="22">
        <v>0</v>
      </c>
      <c r="EY77" s="22">
        <f t="shared" si="58"/>
        <v>1</v>
      </c>
      <c r="EZ77" s="22">
        <v>2</v>
      </c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7">
        <v>380</v>
      </c>
      <c r="FT77" s="18"/>
      <c r="FU77" s="18"/>
      <c r="FV77" s="18"/>
      <c r="FW77" s="18"/>
      <c r="FX77" s="18"/>
      <c r="FY77" s="18"/>
      <c r="FZ77" s="18"/>
      <c r="GA77" s="18"/>
      <c r="GB77" s="22">
        <v>2</v>
      </c>
      <c r="GC77" s="22">
        <v>3</v>
      </c>
      <c r="GD77" s="22">
        <v>0</v>
      </c>
      <c r="GE77" s="18"/>
      <c r="GF77" s="18">
        <f t="shared" si="59"/>
        <v>0.70769230769230773</v>
      </c>
      <c r="GG77" s="17">
        <f t="shared" si="62"/>
        <v>920</v>
      </c>
      <c r="GH77" s="17">
        <f t="shared" si="60"/>
        <v>0</v>
      </c>
      <c r="GI77" s="17">
        <f t="shared" si="45"/>
        <v>5</v>
      </c>
    </row>
    <row r="78" spans="1:193" ht="18" customHeight="1" x14ac:dyDescent="0.45">
      <c r="A78" s="14">
        <v>76</v>
      </c>
      <c r="B78" s="35">
        <v>2230004077</v>
      </c>
      <c r="C78" s="15" t="s">
        <v>489</v>
      </c>
      <c r="D78" s="16">
        <v>0</v>
      </c>
      <c r="E78" s="17">
        <v>1993</v>
      </c>
      <c r="F78" s="17">
        <f t="shared" si="46"/>
        <v>30</v>
      </c>
      <c r="G78" s="18" t="s">
        <v>211</v>
      </c>
      <c r="H78" s="18" t="s">
        <v>212</v>
      </c>
      <c r="I78" s="17">
        <v>1</v>
      </c>
      <c r="J78" s="18">
        <f t="shared" si="47"/>
        <v>4.3680000000000003</v>
      </c>
      <c r="K78" s="17">
        <v>91</v>
      </c>
      <c r="L78" s="17">
        <v>168</v>
      </c>
      <c r="M78" s="18">
        <f t="shared" si="61"/>
        <v>32.242063492063494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9" t="s">
        <v>213</v>
      </c>
      <c r="W78" s="17">
        <v>48</v>
      </c>
      <c r="X78" s="20">
        <v>15</v>
      </c>
      <c r="Y78" s="17">
        <v>2</v>
      </c>
      <c r="Z78" s="17">
        <v>8</v>
      </c>
      <c r="AA78" s="17">
        <v>120</v>
      </c>
      <c r="AB78" s="17">
        <v>120</v>
      </c>
      <c r="AC78" s="17">
        <v>80</v>
      </c>
      <c r="AD78" s="18">
        <f t="shared" si="48"/>
        <v>93.333333333333329</v>
      </c>
      <c r="AE78" s="18">
        <v>20</v>
      </c>
      <c r="AF78" s="17">
        <v>37</v>
      </c>
      <c r="AG78" s="17">
        <v>1</v>
      </c>
      <c r="AH78" s="17">
        <v>1</v>
      </c>
      <c r="AI78" s="17">
        <v>0</v>
      </c>
      <c r="AJ78" s="17">
        <v>12</v>
      </c>
      <c r="AK78" s="18">
        <v>10</v>
      </c>
      <c r="AL78" s="18">
        <v>4.3</v>
      </c>
      <c r="AM78" s="18">
        <v>170</v>
      </c>
      <c r="AN78" s="18">
        <v>39</v>
      </c>
      <c r="AO78" s="18">
        <v>244</v>
      </c>
      <c r="AP78" s="18">
        <v>14</v>
      </c>
      <c r="AQ78" s="18">
        <v>39</v>
      </c>
      <c r="AR78" s="18">
        <v>6.5</v>
      </c>
      <c r="AT78" s="18"/>
      <c r="AX78" s="17">
        <v>11</v>
      </c>
      <c r="AY78" s="18">
        <v>0.7</v>
      </c>
      <c r="BA78" s="5">
        <v>0.88</v>
      </c>
      <c r="BB78" s="10">
        <v>0.05</v>
      </c>
      <c r="BC78" s="21">
        <v>117</v>
      </c>
      <c r="BD78" s="17">
        <v>113</v>
      </c>
      <c r="BE78" s="21">
        <v>3.6</v>
      </c>
      <c r="BF78" s="17">
        <v>85</v>
      </c>
      <c r="BI78" s="17">
        <v>3970</v>
      </c>
      <c r="BJ78" s="17">
        <v>163</v>
      </c>
      <c r="BK78" s="18"/>
      <c r="BL78" s="18">
        <v>80</v>
      </c>
      <c r="BM78" s="18">
        <v>7.16</v>
      </c>
      <c r="BN78" s="17">
        <v>6</v>
      </c>
      <c r="BO78" s="17">
        <v>164</v>
      </c>
      <c r="BP78" s="21">
        <v>2</v>
      </c>
      <c r="BQ78" s="21">
        <v>373</v>
      </c>
      <c r="BR78" s="18">
        <v>0.43967828418230565</v>
      </c>
      <c r="BS78" s="10">
        <v>2.25</v>
      </c>
      <c r="BT78" s="18">
        <v>2</v>
      </c>
      <c r="BU78" s="20">
        <v>15</v>
      </c>
      <c r="BV78" s="22">
        <v>20.965603336987844</v>
      </c>
      <c r="BW78" s="18">
        <f t="shared" si="49"/>
        <v>1</v>
      </c>
      <c r="BX78" s="18">
        <f t="shared" si="50"/>
        <v>0</v>
      </c>
      <c r="BY78" s="18">
        <f t="shared" si="51"/>
        <v>0</v>
      </c>
      <c r="BZ78" s="18">
        <f t="shared" si="52"/>
        <v>1</v>
      </c>
      <c r="CA78" s="22">
        <v>0</v>
      </c>
      <c r="CB78" s="22">
        <v>1</v>
      </c>
      <c r="CC78" s="22">
        <v>0</v>
      </c>
      <c r="CD78" s="22">
        <v>0</v>
      </c>
      <c r="CE78" s="22">
        <v>0</v>
      </c>
      <c r="CF78" s="22">
        <f t="shared" si="53"/>
        <v>1</v>
      </c>
      <c r="CG78" s="22">
        <v>0</v>
      </c>
      <c r="CH78" s="22">
        <v>3</v>
      </c>
      <c r="CI78" s="23">
        <v>0</v>
      </c>
      <c r="CJ78" s="23">
        <v>0</v>
      </c>
      <c r="CK78" s="23">
        <v>0</v>
      </c>
      <c r="CL78" s="23">
        <v>1</v>
      </c>
      <c r="CM78" s="23">
        <v>3</v>
      </c>
      <c r="CN78" s="23" t="s">
        <v>214</v>
      </c>
      <c r="CO78" s="18" t="s">
        <v>215</v>
      </c>
      <c r="CP78" s="18" t="s">
        <v>205</v>
      </c>
      <c r="CQ78" s="18">
        <v>180</v>
      </c>
      <c r="CR78" s="18">
        <v>1200</v>
      </c>
      <c r="CS78" s="18" t="s">
        <v>206</v>
      </c>
      <c r="CT78" s="18" t="s">
        <v>207</v>
      </c>
      <c r="CU78" s="17">
        <f>BI78</f>
        <v>3970</v>
      </c>
      <c r="CV78" s="18" t="s">
        <v>209</v>
      </c>
      <c r="CW78" s="17">
        <v>2300</v>
      </c>
      <c r="CX78" s="21">
        <v>1.5</v>
      </c>
      <c r="CY78" s="17">
        <v>3600</v>
      </c>
      <c r="CZ78" s="17">
        <v>3000</v>
      </c>
      <c r="DA78" s="17">
        <v>300</v>
      </c>
      <c r="DB78" s="17">
        <v>1</v>
      </c>
      <c r="DC78" s="17">
        <v>1</v>
      </c>
      <c r="DD78" s="17">
        <v>3</v>
      </c>
      <c r="DE78" s="17">
        <v>110</v>
      </c>
      <c r="DF78" s="17">
        <v>17</v>
      </c>
      <c r="DG78" s="21">
        <v>12</v>
      </c>
      <c r="DH78" s="18">
        <v>3.7</v>
      </c>
      <c r="DI78" s="18">
        <v>125</v>
      </c>
      <c r="DJ78" s="18">
        <v>33</v>
      </c>
      <c r="DK78" s="17">
        <v>193</v>
      </c>
      <c r="DL78" s="21">
        <v>13</v>
      </c>
      <c r="DM78" s="21">
        <v>66</v>
      </c>
      <c r="DN78" s="18"/>
      <c r="DO78" s="18">
        <v>3.4</v>
      </c>
      <c r="DP78" s="21">
        <v>4</v>
      </c>
      <c r="DQ78" s="18">
        <v>0.5</v>
      </c>
      <c r="DR78" s="18">
        <v>135</v>
      </c>
      <c r="DY78" s="18">
        <v>130</v>
      </c>
      <c r="DZ78" s="18">
        <v>4</v>
      </c>
      <c r="EA78" s="18">
        <v>106</v>
      </c>
      <c r="EB78" s="18">
        <v>79</v>
      </c>
      <c r="EC78" s="18">
        <v>267</v>
      </c>
      <c r="ED78" s="17">
        <v>1827</v>
      </c>
      <c r="EE78" s="18">
        <v>7.29</v>
      </c>
      <c r="EF78" s="18">
        <v>14</v>
      </c>
      <c r="EG78" s="18">
        <v>179</v>
      </c>
      <c r="EH78" s="18">
        <v>7</v>
      </c>
      <c r="EI78" s="18">
        <v>449</v>
      </c>
      <c r="EJ78" s="18">
        <f t="shared" si="44"/>
        <v>0.39866369710467708</v>
      </c>
      <c r="EL78" s="18">
        <v>1.4</v>
      </c>
      <c r="EM78" s="18">
        <v>13</v>
      </c>
      <c r="EN78" s="22">
        <v>12</v>
      </c>
      <c r="EO78" s="22">
        <v>14.616523039738205</v>
      </c>
      <c r="EP78" s="18">
        <f t="shared" si="54"/>
        <v>1</v>
      </c>
      <c r="EQ78" s="18">
        <f t="shared" si="55"/>
        <v>0</v>
      </c>
      <c r="ER78" s="18">
        <f t="shared" si="56"/>
        <v>0</v>
      </c>
      <c r="ES78" s="18">
        <f t="shared" si="57"/>
        <v>1</v>
      </c>
      <c r="ET78" s="22">
        <v>0</v>
      </c>
      <c r="EU78" s="22">
        <v>0</v>
      </c>
      <c r="EV78" s="22">
        <v>1</v>
      </c>
      <c r="EW78" s="22">
        <v>0</v>
      </c>
      <c r="EX78" s="22">
        <v>0</v>
      </c>
      <c r="EY78" s="22">
        <f t="shared" si="58"/>
        <v>1</v>
      </c>
      <c r="EZ78" s="22">
        <v>2</v>
      </c>
      <c r="FA78" s="18" t="s">
        <v>216</v>
      </c>
      <c r="FB78" s="18" t="s">
        <v>209</v>
      </c>
      <c r="FC78" s="18">
        <v>4.8</v>
      </c>
      <c r="FD78" s="18">
        <v>105</v>
      </c>
      <c r="FE78" s="18">
        <v>31</v>
      </c>
      <c r="FF78" s="18">
        <v>103</v>
      </c>
      <c r="FG78" s="18">
        <v>20</v>
      </c>
      <c r="FH78" s="18">
        <v>76</v>
      </c>
      <c r="FI78" s="18">
        <v>104</v>
      </c>
      <c r="FJ78" s="18">
        <v>1.8</v>
      </c>
      <c r="FK78" s="18">
        <v>13</v>
      </c>
      <c r="FL78" s="18">
        <v>0.6</v>
      </c>
      <c r="FM78" s="18">
        <v>121</v>
      </c>
      <c r="FN78" s="18">
        <v>134</v>
      </c>
      <c r="FO78" s="18">
        <v>3.3</v>
      </c>
      <c r="FP78" s="18">
        <v>106</v>
      </c>
      <c r="FQ78" s="18"/>
      <c r="FR78" s="18">
        <v>218</v>
      </c>
      <c r="FS78" s="17">
        <v>877</v>
      </c>
      <c r="FT78" s="18">
        <v>7.3</v>
      </c>
      <c r="FU78" s="18">
        <v>15</v>
      </c>
      <c r="FV78" s="18">
        <v>177</v>
      </c>
      <c r="FW78" s="18">
        <v>8</v>
      </c>
      <c r="FX78" s="18">
        <v>0.4</v>
      </c>
      <c r="FY78" s="18">
        <v>443</v>
      </c>
      <c r="FZ78" s="18">
        <v>1.2</v>
      </c>
      <c r="GA78" s="18">
        <v>15</v>
      </c>
      <c r="GB78" s="22">
        <v>1</v>
      </c>
      <c r="GC78" s="22">
        <v>9</v>
      </c>
      <c r="GD78" s="22">
        <v>0</v>
      </c>
      <c r="GE78" s="18">
        <v>9.9481411429015392</v>
      </c>
      <c r="GF78" s="18">
        <f t="shared" si="59"/>
        <v>0.53979848866498736</v>
      </c>
      <c r="GG78" s="17">
        <f t="shared" si="62"/>
        <v>2143</v>
      </c>
      <c r="GH78" s="17">
        <f t="shared" si="60"/>
        <v>0</v>
      </c>
      <c r="GI78" s="17">
        <f t="shared" si="45"/>
        <v>6</v>
      </c>
      <c r="GJ78" s="24">
        <f>ED78-FS78</f>
        <v>950</v>
      </c>
      <c r="GK78" s="24">
        <f>GJ78/ED78</f>
        <v>0.51997810618500273</v>
      </c>
    </row>
    <row r="79" spans="1:193" ht="18" customHeight="1" x14ac:dyDescent="0.45">
      <c r="A79" s="14">
        <v>77</v>
      </c>
      <c r="B79" s="35">
        <v>2230023129</v>
      </c>
      <c r="C79" s="15" t="s">
        <v>439</v>
      </c>
      <c r="D79" s="16">
        <v>0</v>
      </c>
      <c r="E79" s="17">
        <v>1983</v>
      </c>
      <c r="F79" s="17">
        <f t="shared" si="46"/>
        <v>40</v>
      </c>
      <c r="G79" s="18" t="s">
        <v>211</v>
      </c>
      <c r="H79" s="18" t="s">
        <v>234</v>
      </c>
      <c r="I79" s="17">
        <v>1</v>
      </c>
      <c r="J79" s="18">
        <f t="shared" si="47"/>
        <v>3.2160000000000002</v>
      </c>
      <c r="K79" s="17">
        <v>67</v>
      </c>
      <c r="L79" s="17">
        <v>170</v>
      </c>
      <c r="M79" s="18">
        <f t="shared" si="61"/>
        <v>23.183391003460208</v>
      </c>
      <c r="N79" s="17">
        <v>0</v>
      </c>
      <c r="O79" s="17">
        <v>1</v>
      </c>
      <c r="P79" s="17">
        <v>0</v>
      </c>
      <c r="Q79" s="17">
        <v>0</v>
      </c>
      <c r="R79" s="17">
        <v>1</v>
      </c>
      <c r="S79" s="17">
        <v>0</v>
      </c>
      <c r="T79" s="17">
        <v>0</v>
      </c>
      <c r="U79" s="17">
        <v>0</v>
      </c>
      <c r="V79" s="19" t="s">
        <v>388</v>
      </c>
      <c r="W79" s="17">
        <v>72</v>
      </c>
      <c r="X79" s="20">
        <v>9</v>
      </c>
      <c r="Y79" s="17">
        <v>1</v>
      </c>
      <c r="Z79" s="17">
        <v>9</v>
      </c>
      <c r="AA79" s="17">
        <v>130</v>
      </c>
      <c r="AB79" s="17">
        <v>140</v>
      </c>
      <c r="AC79" s="17">
        <v>100</v>
      </c>
      <c r="AD79" s="18">
        <f t="shared" si="48"/>
        <v>113.33333333333333</v>
      </c>
      <c r="AE79" s="18">
        <v>24</v>
      </c>
      <c r="AF79" s="17">
        <v>37</v>
      </c>
      <c r="AG79" s="17">
        <v>1</v>
      </c>
      <c r="AH79" s="17">
        <v>0</v>
      </c>
      <c r="AI79" s="17">
        <v>0</v>
      </c>
      <c r="AJ79" s="17">
        <v>15</v>
      </c>
      <c r="AK79" s="18">
        <v>28</v>
      </c>
      <c r="AL79" s="18">
        <v>4.5999999999999996</v>
      </c>
      <c r="AM79" s="18">
        <v>153</v>
      </c>
      <c r="AN79" s="18">
        <v>42.7</v>
      </c>
      <c r="AO79" s="18">
        <v>327</v>
      </c>
      <c r="AP79" s="18">
        <v>15</v>
      </c>
      <c r="AQ79" s="18">
        <v>31</v>
      </c>
      <c r="AR79" s="18"/>
      <c r="AS79" s="21">
        <v>352</v>
      </c>
      <c r="AT79" s="18"/>
      <c r="AX79" s="17">
        <v>13</v>
      </c>
      <c r="AY79" s="18">
        <v>0.64</v>
      </c>
      <c r="BC79" s="21">
        <v>105</v>
      </c>
      <c r="BD79" s="17">
        <v>122</v>
      </c>
      <c r="BE79" s="21">
        <v>4.37</v>
      </c>
      <c r="BF79" s="17">
        <v>100</v>
      </c>
      <c r="BH79" s="17">
        <v>254</v>
      </c>
      <c r="BI79" s="17">
        <v>3211</v>
      </c>
      <c r="BJ79" s="17">
        <v>120</v>
      </c>
      <c r="BK79" s="18"/>
      <c r="BL79" s="18"/>
      <c r="BM79" s="18">
        <v>7.35</v>
      </c>
      <c r="BO79" s="17">
        <v>65</v>
      </c>
      <c r="BP79" s="21">
        <v>22</v>
      </c>
      <c r="BR79" s="18"/>
      <c r="BU79" s="20">
        <v>9</v>
      </c>
      <c r="BV79" s="22">
        <v>9.9481411429015392</v>
      </c>
      <c r="BW79" s="18">
        <f t="shared" si="49"/>
        <v>1</v>
      </c>
      <c r="BX79" s="18">
        <f t="shared" si="50"/>
        <v>1</v>
      </c>
      <c r="BY79" s="18">
        <f t="shared" si="51"/>
        <v>0</v>
      </c>
      <c r="BZ79" s="18">
        <f t="shared" si="52"/>
        <v>2</v>
      </c>
      <c r="CA79" s="22">
        <v>0</v>
      </c>
      <c r="CB79" s="22">
        <v>0</v>
      </c>
      <c r="CC79" s="22">
        <v>1</v>
      </c>
      <c r="CD79" s="22">
        <v>0</v>
      </c>
      <c r="CE79" s="22">
        <v>0</v>
      </c>
      <c r="CF79" s="22">
        <f t="shared" si="53"/>
        <v>1</v>
      </c>
      <c r="CG79" s="22">
        <v>1</v>
      </c>
      <c r="CH79" s="22">
        <v>0</v>
      </c>
      <c r="CI79" s="23">
        <v>0</v>
      </c>
      <c r="CJ79" s="23">
        <v>1</v>
      </c>
      <c r="CK79" s="23">
        <v>0</v>
      </c>
      <c r="CL79" s="23">
        <v>0</v>
      </c>
      <c r="CM79" s="23">
        <v>4</v>
      </c>
      <c r="CN79" s="23" t="s">
        <v>219</v>
      </c>
      <c r="CO79" s="18" t="s">
        <v>389</v>
      </c>
      <c r="CP79" s="18" t="s">
        <v>235</v>
      </c>
      <c r="CQ79" s="18">
        <v>180</v>
      </c>
      <c r="CR79" s="18">
        <v>1200</v>
      </c>
      <c r="CS79" s="18" t="s">
        <v>236</v>
      </c>
      <c r="CT79" s="18" t="s">
        <v>207</v>
      </c>
      <c r="CU79" s="17">
        <f>BI79</f>
        <v>3211</v>
      </c>
      <c r="CV79" s="18" t="s">
        <v>209</v>
      </c>
      <c r="CW79" s="17">
        <v>2340</v>
      </c>
      <c r="CX79" s="21">
        <v>1.5</v>
      </c>
      <c r="CY79" s="17">
        <v>3500</v>
      </c>
      <c r="CZ79" s="17">
        <v>1600</v>
      </c>
      <c r="DA79" s="17">
        <v>400</v>
      </c>
      <c r="DB79" s="17">
        <v>1</v>
      </c>
      <c r="DC79" s="17">
        <v>0</v>
      </c>
      <c r="DD79" s="17">
        <v>3</v>
      </c>
      <c r="DE79" s="17">
        <v>120</v>
      </c>
      <c r="DF79" s="17">
        <v>21</v>
      </c>
      <c r="DG79" s="21">
        <v>25</v>
      </c>
      <c r="DH79" s="18">
        <v>3.98</v>
      </c>
      <c r="DI79" s="18">
        <v>125</v>
      </c>
      <c r="DJ79" s="18">
        <v>33.299999999999997</v>
      </c>
      <c r="DK79" s="17">
        <v>243</v>
      </c>
      <c r="DL79" s="21">
        <v>23</v>
      </c>
      <c r="DM79" s="21">
        <v>56</v>
      </c>
      <c r="DN79" s="18"/>
      <c r="DO79" s="18"/>
      <c r="DP79" s="21">
        <v>12.58</v>
      </c>
      <c r="DQ79" s="18">
        <v>0.48</v>
      </c>
      <c r="DR79" s="18">
        <v>147</v>
      </c>
      <c r="DY79" s="18">
        <v>144</v>
      </c>
      <c r="DZ79" s="18">
        <v>2.81</v>
      </c>
      <c r="EA79" s="18">
        <v>112</v>
      </c>
      <c r="EB79" s="18">
        <v>67</v>
      </c>
      <c r="EC79" s="18">
        <v>137</v>
      </c>
      <c r="ED79" s="17">
        <v>1260</v>
      </c>
      <c r="EE79" s="18">
        <v>7.38</v>
      </c>
      <c r="EF79" s="18">
        <v>45</v>
      </c>
      <c r="EG79" s="18">
        <v>91</v>
      </c>
      <c r="EH79" s="18">
        <v>22</v>
      </c>
      <c r="EI79" s="18">
        <f>EG79/0.21</f>
        <v>433.33333333333337</v>
      </c>
      <c r="EJ79" s="18">
        <f t="shared" si="44"/>
        <v>0.21</v>
      </c>
      <c r="EL79" s="18"/>
      <c r="EM79" s="18">
        <v>15</v>
      </c>
      <c r="EN79" s="22">
        <v>10</v>
      </c>
      <c r="EO79" s="22">
        <v>11.334697884966939</v>
      </c>
      <c r="EP79" s="18">
        <f t="shared" si="54"/>
        <v>1</v>
      </c>
      <c r="EQ79" s="18">
        <f t="shared" si="55"/>
        <v>1</v>
      </c>
      <c r="ER79" s="18">
        <f t="shared" si="56"/>
        <v>0</v>
      </c>
      <c r="ES79" s="18">
        <f t="shared" si="57"/>
        <v>2</v>
      </c>
      <c r="ET79" s="22">
        <v>0</v>
      </c>
      <c r="EU79" s="22">
        <v>0</v>
      </c>
      <c r="EV79" s="22">
        <v>1</v>
      </c>
      <c r="EW79" s="22">
        <v>0</v>
      </c>
      <c r="EX79" s="22">
        <v>0</v>
      </c>
      <c r="EY79" s="22">
        <f t="shared" si="58"/>
        <v>1</v>
      </c>
      <c r="EZ79" s="22">
        <v>0</v>
      </c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7">
        <v>1260</v>
      </c>
      <c r="FT79" s="18"/>
      <c r="FU79" s="18"/>
      <c r="FV79" s="18"/>
      <c r="FW79" s="18"/>
      <c r="FX79" s="18"/>
      <c r="FY79" s="18"/>
      <c r="FZ79" s="18"/>
      <c r="GA79" s="18"/>
      <c r="GB79" s="22">
        <v>0</v>
      </c>
      <c r="GC79" s="22">
        <v>10</v>
      </c>
      <c r="GD79" s="22">
        <v>0</v>
      </c>
      <c r="GE79" s="18"/>
      <c r="GF79" s="18">
        <f t="shared" si="59"/>
        <v>0.60759887885393959</v>
      </c>
      <c r="GG79" s="17">
        <f t="shared" si="62"/>
        <v>1951</v>
      </c>
      <c r="GH79" s="17">
        <f t="shared" si="60"/>
        <v>0</v>
      </c>
      <c r="GI79" s="17">
        <f t="shared" si="45"/>
        <v>-1</v>
      </c>
    </row>
    <row r="80" spans="1:193" ht="18" customHeight="1" x14ac:dyDescent="0.45">
      <c r="A80" s="14">
        <v>78</v>
      </c>
      <c r="B80" s="35">
        <v>2230030034</v>
      </c>
      <c r="C80" s="15" t="s">
        <v>289</v>
      </c>
      <c r="D80" s="16">
        <v>1</v>
      </c>
      <c r="E80" s="17">
        <v>1993</v>
      </c>
      <c r="F80" s="17">
        <f t="shared" si="46"/>
        <v>30</v>
      </c>
      <c r="G80" s="18" t="s">
        <v>237</v>
      </c>
      <c r="H80" s="18" t="s">
        <v>273</v>
      </c>
      <c r="I80" s="17">
        <v>0</v>
      </c>
      <c r="J80" s="18">
        <f t="shared" si="47"/>
        <v>3.84</v>
      </c>
      <c r="K80" s="17">
        <v>80</v>
      </c>
      <c r="L80" s="17">
        <v>172</v>
      </c>
      <c r="M80" s="18">
        <f t="shared" si="61"/>
        <v>27.041644131963228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1</v>
      </c>
      <c r="U80" s="17">
        <v>1</v>
      </c>
      <c r="V80" s="19" t="s">
        <v>358</v>
      </c>
      <c r="W80" s="17">
        <v>72</v>
      </c>
      <c r="X80" s="20">
        <v>18</v>
      </c>
      <c r="Y80" s="17">
        <v>1</v>
      </c>
      <c r="Z80" s="17">
        <v>6</v>
      </c>
      <c r="AA80" s="17">
        <v>100</v>
      </c>
      <c r="AB80" s="17">
        <v>80</v>
      </c>
      <c r="AC80" s="17">
        <v>40</v>
      </c>
      <c r="AD80" s="18">
        <f t="shared" si="48"/>
        <v>53.333333333333329</v>
      </c>
      <c r="AE80" s="18">
        <v>22</v>
      </c>
      <c r="AF80" s="17">
        <v>37</v>
      </c>
      <c r="AG80" s="17">
        <v>1</v>
      </c>
      <c r="AH80" s="17">
        <v>1</v>
      </c>
      <c r="AI80" s="17">
        <v>0</v>
      </c>
      <c r="AJ80" s="17">
        <v>14</v>
      </c>
      <c r="AK80" s="18">
        <v>18.8</v>
      </c>
      <c r="AL80" s="18">
        <v>6.6</v>
      </c>
      <c r="AM80" s="18">
        <v>198</v>
      </c>
      <c r="AN80" s="18">
        <v>57</v>
      </c>
      <c r="AO80" s="18">
        <v>99</v>
      </c>
      <c r="AP80" s="18">
        <v>15</v>
      </c>
      <c r="AQ80" s="18">
        <v>31</v>
      </c>
      <c r="AR80" s="18">
        <v>2.8</v>
      </c>
      <c r="AT80" s="18">
        <v>3.4</v>
      </c>
      <c r="AX80" s="17">
        <v>36</v>
      </c>
      <c r="AY80" s="18">
        <v>2.4</v>
      </c>
      <c r="BA80" s="5">
        <v>0.3</v>
      </c>
      <c r="BB80" s="5">
        <v>0.22</v>
      </c>
      <c r="BC80" s="21">
        <v>34</v>
      </c>
      <c r="BD80" s="17">
        <v>139</v>
      </c>
      <c r="BE80" s="21">
        <v>5.0999999999999996</v>
      </c>
      <c r="BF80" s="17">
        <v>104</v>
      </c>
      <c r="BG80" s="17">
        <v>1394</v>
      </c>
      <c r="BH80" s="17">
        <v>3337</v>
      </c>
      <c r="BI80" s="17">
        <v>1761</v>
      </c>
      <c r="BJ80" s="17">
        <v>157</v>
      </c>
      <c r="BK80" s="18"/>
      <c r="BL80" s="18"/>
      <c r="BM80" s="18">
        <v>7.3</v>
      </c>
      <c r="BN80" s="17">
        <v>31</v>
      </c>
      <c r="BO80" s="17">
        <v>69</v>
      </c>
      <c r="BP80" s="21">
        <v>15</v>
      </c>
      <c r="BQ80" s="21">
        <v>193</v>
      </c>
      <c r="BR80" s="18">
        <v>0.35799999999999998</v>
      </c>
      <c r="BS80" s="10">
        <v>2.41</v>
      </c>
      <c r="BU80" s="20">
        <v>18</v>
      </c>
      <c r="BV80" s="22">
        <v>29.131623542908642</v>
      </c>
      <c r="BW80" s="18">
        <f t="shared" si="49"/>
        <v>1</v>
      </c>
      <c r="BX80" s="18">
        <f t="shared" si="50"/>
        <v>1</v>
      </c>
      <c r="BY80" s="18">
        <f t="shared" si="51"/>
        <v>1</v>
      </c>
      <c r="BZ80" s="18">
        <f t="shared" si="52"/>
        <v>3</v>
      </c>
      <c r="CA80" s="22">
        <v>1</v>
      </c>
      <c r="CB80" s="22">
        <v>0</v>
      </c>
      <c r="CC80" s="22">
        <v>1</v>
      </c>
      <c r="CD80" s="22">
        <v>0</v>
      </c>
      <c r="CE80" s="22">
        <v>0</v>
      </c>
      <c r="CF80" s="22">
        <f t="shared" si="53"/>
        <v>2</v>
      </c>
      <c r="CG80" s="22">
        <v>1</v>
      </c>
      <c r="CH80" s="22">
        <v>9</v>
      </c>
      <c r="CI80" s="23">
        <v>0</v>
      </c>
      <c r="CJ80" s="23">
        <v>0</v>
      </c>
      <c r="CK80" s="23">
        <v>1</v>
      </c>
      <c r="CL80" s="23">
        <v>0</v>
      </c>
      <c r="CM80" s="23">
        <v>10</v>
      </c>
      <c r="CN80" s="23" t="s">
        <v>203</v>
      </c>
      <c r="CO80" s="18" t="s">
        <v>359</v>
      </c>
      <c r="CP80" s="18" t="s">
        <v>205</v>
      </c>
      <c r="CQ80" s="18">
        <v>150</v>
      </c>
      <c r="CR80" s="18">
        <v>1200</v>
      </c>
      <c r="CS80" s="18" t="s">
        <v>206</v>
      </c>
      <c r="CT80" s="18" t="s">
        <v>207</v>
      </c>
      <c r="CU80" s="17">
        <f>BI80</f>
        <v>1761</v>
      </c>
      <c r="CV80" s="18" t="s">
        <v>209</v>
      </c>
      <c r="CW80" s="27">
        <v>3000</v>
      </c>
      <c r="CX80" s="28">
        <v>1</v>
      </c>
      <c r="CY80" s="27">
        <v>3000</v>
      </c>
      <c r="DB80" s="17">
        <v>1</v>
      </c>
      <c r="DC80" s="17">
        <v>2</v>
      </c>
      <c r="DD80" s="17">
        <v>3</v>
      </c>
      <c r="DE80" s="17">
        <v>90</v>
      </c>
      <c r="DF80" s="17">
        <v>20</v>
      </c>
      <c r="DG80" s="21">
        <v>20</v>
      </c>
      <c r="DH80" s="18">
        <v>4</v>
      </c>
      <c r="DI80" s="18">
        <v>124</v>
      </c>
      <c r="DJ80" s="18">
        <v>36</v>
      </c>
      <c r="DK80" s="17">
        <v>180</v>
      </c>
      <c r="DL80" s="21">
        <v>20</v>
      </c>
      <c r="DM80" s="21">
        <v>100</v>
      </c>
      <c r="DN80" s="18">
        <v>170</v>
      </c>
      <c r="DO80" s="18">
        <v>3.5</v>
      </c>
      <c r="DP80" s="21">
        <v>55</v>
      </c>
      <c r="DQ80" s="18">
        <v>2.8</v>
      </c>
      <c r="DR80" s="18">
        <v>29</v>
      </c>
      <c r="DY80" s="18">
        <v>136</v>
      </c>
      <c r="DZ80" s="18">
        <v>3.7</v>
      </c>
      <c r="EA80" s="18">
        <v>104</v>
      </c>
      <c r="EB80" s="18">
        <v>445</v>
      </c>
      <c r="EC80" s="18">
        <v>541</v>
      </c>
      <c r="ED80" s="17">
        <v>589</v>
      </c>
      <c r="EE80" s="18">
        <v>7.3</v>
      </c>
      <c r="EF80" s="18">
        <v>30</v>
      </c>
      <c r="EG80" s="18">
        <v>92</v>
      </c>
      <c r="EH80" s="18">
        <v>15</v>
      </c>
      <c r="EI80" s="18">
        <v>210</v>
      </c>
      <c r="EJ80" s="18">
        <f t="shared" si="44"/>
        <v>0.43809523809523809</v>
      </c>
      <c r="EL80" s="18"/>
      <c r="EM80" s="18">
        <v>15</v>
      </c>
      <c r="EN80" s="22">
        <v>15</v>
      </c>
      <c r="EO80" s="22">
        <v>20.965603336987844</v>
      </c>
      <c r="EP80" s="18">
        <f t="shared" si="54"/>
        <v>1</v>
      </c>
      <c r="EQ80" s="18">
        <f t="shared" si="55"/>
        <v>0</v>
      </c>
      <c r="ER80" s="18">
        <f t="shared" si="56"/>
        <v>1</v>
      </c>
      <c r="ES80" s="18">
        <f t="shared" si="57"/>
        <v>2</v>
      </c>
      <c r="ET80" s="22">
        <v>1</v>
      </c>
      <c r="EU80" s="22">
        <v>0</v>
      </c>
      <c r="EV80" s="22">
        <v>1</v>
      </c>
      <c r="EW80" s="22">
        <v>0</v>
      </c>
      <c r="EX80" s="22">
        <v>0</v>
      </c>
      <c r="EY80" s="22">
        <f t="shared" si="58"/>
        <v>2</v>
      </c>
      <c r="EZ80" s="22">
        <v>9</v>
      </c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7">
        <v>589</v>
      </c>
      <c r="FT80" s="18"/>
      <c r="FU80" s="18"/>
      <c r="FV80" s="18"/>
      <c r="FW80" s="18"/>
      <c r="FX80" s="18"/>
      <c r="FY80" s="18"/>
      <c r="FZ80" s="18"/>
      <c r="GA80" s="18"/>
      <c r="GB80" s="22">
        <v>9</v>
      </c>
      <c r="GC80" s="22">
        <v>15</v>
      </c>
      <c r="GD80" s="22">
        <v>0</v>
      </c>
      <c r="GE80" s="18"/>
      <c r="GF80" s="18">
        <f t="shared" si="59"/>
        <v>0.66553094832481541</v>
      </c>
      <c r="GG80" s="17">
        <f t="shared" si="62"/>
        <v>1172</v>
      </c>
      <c r="GH80" s="17">
        <f t="shared" si="60"/>
        <v>0</v>
      </c>
      <c r="GI80" s="17">
        <f t="shared" si="45"/>
        <v>3</v>
      </c>
    </row>
    <row r="81" spans="1:193" ht="18" customHeight="1" x14ac:dyDescent="0.45">
      <c r="A81" s="14">
        <v>79</v>
      </c>
      <c r="B81" s="35">
        <v>2190129624</v>
      </c>
      <c r="C81" s="15" t="s">
        <v>320</v>
      </c>
      <c r="D81" s="16">
        <v>0</v>
      </c>
      <c r="E81" s="17">
        <v>1973</v>
      </c>
      <c r="F81" s="17">
        <f t="shared" si="46"/>
        <v>50</v>
      </c>
      <c r="G81" s="18" t="s">
        <v>211</v>
      </c>
      <c r="H81" s="18" t="s">
        <v>234</v>
      </c>
      <c r="I81" s="17">
        <v>1</v>
      </c>
      <c r="J81" s="18">
        <f t="shared" si="47"/>
        <v>3.12</v>
      </c>
      <c r="K81" s="17">
        <v>65</v>
      </c>
      <c r="L81" s="17">
        <v>160</v>
      </c>
      <c r="M81" s="18">
        <f t="shared" si="61"/>
        <v>25.390624999999996</v>
      </c>
      <c r="N81" s="17">
        <v>0</v>
      </c>
      <c r="O81" s="17">
        <v>1</v>
      </c>
      <c r="P81" s="17">
        <v>0</v>
      </c>
      <c r="Q81" s="17">
        <v>0</v>
      </c>
      <c r="R81" s="17">
        <v>1</v>
      </c>
      <c r="S81" s="17">
        <v>0</v>
      </c>
      <c r="T81" s="17">
        <v>1</v>
      </c>
      <c r="U81" s="17">
        <v>1</v>
      </c>
      <c r="V81" s="19" t="s">
        <v>442</v>
      </c>
      <c r="W81" s="17">
        <v>24</v>
      </c>
      <c r="X81" s="20">
        <v>12</v>
      </c>
      <c r="Y81" s="17">
        <v>1</v>
      </c>
      <c r="Z81" s="17">
        <v>8</v>
      </c>
      <c r="AA81" s="17">
        <v>100</v>
      </c>
      <c r="AB81" s="17">
        <v>160</v>
      </c>
      <c r="AC81" s="17">
        <v>100</v>
      </c>
      <c r="AD81" s="18">
        <f t="shared" si="48"/>
        <v>120</v>
      </c>
      <c r="AE81" s="18">
        <v>20</v>
      </c>
      <c r="AF81" s="17">
        <v>36</v>
      </c>
      <c r="AG81" s="17">
        <v>1</v>
      </c>
      <c r="AH81" s="17">
        <v>0</v>
      </c>
      <c r="AI81" s="17">
        <v>0</v>
      </c>
      <c r="AJ81" s="17">
        <v>13</v>
      </c>
      <c r="AK81" s="18">
        <v>14.9</v>
      </c>
      <c r="AL81" s="18">
        <v>4.08</v>
      </c>
      <c r="AM81" s="18">
        <v>113</v>
      </c>
      <c r="AN81" s="18">
        <v>34</v>
      </c>
      <c r="AO81" s="18">
        <v>383</v>
      </c>
      <c r="AP81" s="18">
        <v>11</v>
      </c>
      <c r="AQ81" s="18">
        <v>26</v>
      </c>
      <c r="AR81" s="18"/>
      <c r="AS81" s="21">
        <v>62</v>
      </c>
      <c r="AT81" s="18"/>
      <c r="AX81" s="17">
        <v>30</v>
      </c>
      <c r="AY81" s="18">
        <v>0.6</v>
      </c>
      <c r="BA81" s="5">
        <v>0.38</v>
      </c>
      <c r="BB81" s="5">
        <v>0.08</v>
      </c>
      <c r="BC81" s="21">
        <v>107</v>
      </c>
      <c r="BD81" s="17">
        <v>124</v>
      </c>
      <c r="BE81" s="21">
        <v>3.6</v>
      </c>
      <c r="BF81" s="17">
        <v>91</v>
      </c>
      <c r="BH81" s="17">
        <v>1257</v>
      </c>
      <c r="BI81" s="17">
        <v>1350</v>
      </c>
      <c r="BJ81" s="17">
        <v>387</v>
      </c>
      <c r="BK81" s="18"/>
      <c r="BL81" s="18">
        <v>2.1</v>
      </c>
      <c r="BM81" s="18">
        <v>7.37</v>
      </c>
      <c r="BN81" s="17">
        <v>29</v>
      </c>
      <c r="BO81" s="17">
        <v>66</v>
      </c>
      <c r="BP81" s="21">
        <v>16</v>
      </c>
      <c r="BQ81" s="21">
        <v>295</v>
      </c>
      <c r="BR81" s="18">
        <f>BO81/BQ81</f>
        <v>0.22372881355932203</v>
      </c>
      <c r="BT81" s="18">
        <v>1.6</v>
      </c>
      <c r="BU81" s="20">
        <v>12</v>
      </c>
      <c r="BV81" s="22">
        <v>14.616523039738205</v>
      </c>
      <c r="BW81" s="18">
        <f t="shared" si="49"/>
        <v>1</v>
      </c>
      <c r="BX81" s="18">
        <f t="shared" si="50"/>
        <v>0</v>
      </c>
      <c r="BY81" s="18">
        <f t="shared" si="51"/>
        <v>1</v>
      </c>
      <c r="BZ81" s="18">
        <f t="shared" si="52"/>
        <v>2</v>
      </c>
      <c r="CA81" s="22">
        <v>1</v>
      </c>
      <c r="CB81" s="22">
        <v>0</v>
      </c>
      <c r="CC81" s="22">
        <v>1</v>
      </c>
      <c r="CD81" s="22">
        <v>0</v>
      </c>
      <c r="CE81" s="22">
        <v>0</v>
      </c>
      <c r="CF81" s="22">
        <f t="shared" si="53"/>
        <v>2</v>
      </c>
      <c r="CG81" s="22">
        <v>1</v>
      </c>
      <c r="CH81" s="22">
        <v>3</v>
      </c>
      <c r="CI81" s="23">
        <v>0</v>
      </c>
      <c r="CJ81" s="23">
        <v>0</v>
      </c>
      <c r="CK81" s="23">
        <v>1</v>
      </c>
      <c r="CL81" s="23">
        <v>0</v>
      </c>
      <c r="CM81" s="23">
        <v>4</v>
      </c>
      <c r="CN81" s="23" t="s">
        <v>219</v>
      </c>
      <c r="CO81" s="18" t="s">
        <v>443</v>
      </c>
      <c r="CP81" s="18" t="s">
        <v>235</v>
      </c>
      <c r="CQ81" s="18">
        <v>150</v>
      </c>
      <c r="CR81" s="18">
        <v>1000</v>
      </c>
      <c r="CS81" s="18" t="s">
        <v>236</v>
      </c>
      <c r="CT81" s="18" t="s">
        <v>207</v>
      </c>
      <c r="CU81" s="17">
        <v>1681</v>
      </c>
      <c r="CV81" s="18" t="s">
        <v>209</v>
      </c>
      <c r="CW81" s="17">
        <v>2800</v>
      </c>
      <c r="CX81" s="21">
        <v>1.5</v>
      </c>
      <c r="CY81" s="17">
        <v>4300</v>
      </c>
      <c r="CZ81" s="17">
        <v>2600</v>
      </c>
      <c r="DA81" s="17">
        <v>700</v>
      </c>
      <c r="DB81" s="17">
        <v>1</v>
      </c>
      <c r="DC81" s="17">
        <v>0</v>
      </c>
      <c r="DD81" s="17">
        <v>3</v>
      </c>
      <c r="DE81" s="17">
        <v>90</v>
      </c>
      <c r="DF81" s="17">
        <v>17</v>
      </c>
      <c r="DG81" s="21">
        <v>14</v>
      </c>
      <c r="DH81" s="18">
        <v>3.32</v>
      </c>
      <c r="DI81" s="18">
        <v>135</v>
      </c>
      <c r="DJ81" s="18">
        <v>44.6</v>
      </c>
      <c r="DK81" s="17">
        <v>146</v>
      </c>
      <c r="DL81" s="21">
        <v>23</v>
      </c>
      <c r="DM81" s="21">
        <v>27</v>
      </c>
      <c r="DN81" s="18"/>
      <c r="DO81" s="18"/>
      <c r="DP81" s="21">
        <v>21</v>
      </c>
      <c r="DQ81" s="18">
        <v>0.68</v>
      </c>
      <c r="DR81" s="18">
        <v>97</v>
      </c>
      <c r="DY81" s="18">
        <v>132</v>
      </c>
      <c r="DZ81" s="18">
        <v>3.22</v>
      </c>
      <c r="EA81" s="18">
        <v>99</v>
      </c>
      <c r="EB81" s="18"/>
      <c r="EC81" s="18"/>
      <c r="ED81" s="17">
        <v>681</v>
      </c>
      <c r="EE81" s="18">
        <v>7.38</v>
      </c>
      <c r="EF81" s="18">
        <v>45</v>
      </c>
      <c r="EG81" s="18">
        <v>77</v>
      </c>
      <c r="EH81" s="18">
        <v>22</v>
      </c>
      <c r="EI81" s="18">
        <f>EG81/0.21</f>
        <v>366.66666666666669</v>
      </c>
      <c r="EJ81" s="18">
        <f t="shared" si="44"/>
        <v>0.21</v>
      </c>
      <c r="EL81" s="18"/>
      <c r="EM81" s="18">
        <v>14</v>
      </c>
      <c r="EN81" s="22">
        <v>6</v>
      </c>
      <c r="EO81" s="22">
        <v>6.6545891108010107</v>
      </c>
      <c r="EP81" s="18">
        <f t="shared" si="54"/>
        <v>1</v>
      </c>
      <c r="EQ81" s="18">
        <f t="shared" si="55"/>
        <v>0</v>
      </c>
      <c r="ER81" s="18">
        <f t="shared" si="56"/>
        <v>0</v>
      </c>
      <c r="ES81" s="18">
        <f t="shared" si="57"/>
        <v>1</v>
      </c>
      <c r="ET81" s="22">
        <v>0</v>
      </c>
      <c r="EU81" s="22">
        <v>0</v>
      </c>
      <c r="EV81" s="22">
        <v>1</v>
      </c>
      <c r="EW81" s="22">
        <v>0</v>
      </c>
      <c r="EX81" s="22">
        <v>0</v>
      </c>
      <c r="EY81" s="22">
        <f t="shared" si="58"/>
        <v>1</v>
      </c>
      <c r="EZ81" s="22">
        <v>3</v>
      </c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7">
        <v>681</v>
      </c>
      <c r="FT81" s="18"/>
      <c r="FU81" s="18"/>
      <c r="FV81" s="18"/>
      <c r="FW81" s="18"/>
      <c r="FX81" s="18"/>
      <c r="FY81" s="18"/>
      <c r="FZ81" s="18"/>
      <c r="GA81" s="18"/>
      <c r="GB81" s="22">
        <v>3</v>
      </c>
      <c r="GC81" s="22">
        <v>6</v>
      </c>
      <c r="GD81" s="22">
        <v>0</v>
      </c>
      <c r="GE81" s="18"/>
      <c r="GF81" s="18">
        <f t="shared" si="59"/>
        <v>0.49555555555555558</v>
      </c>
      <c r="GG81" s="17">
        <f t="shared" si="62"/>
        <v>669</v>
      </c>
      <c r="GH81" s="17">
        <f t="shared" si="60"/>
        <v>1</v>
      </c>
      <c r="GI81" s="17">
        <f t="shared" si="45"/>
        <v>6</v>
      </c>
    </row>
    <row r="82" spans="1:193" ht="18" customHeight="1" x14ac:dyDescent="0.45">
      <c r="A82" s="14">
        <v>80</v>
      </c>
      <c r="B82" s="35">
        <v>2200028727</v>
      </c>
      <c r="C82" s="15" t="s">
        <v>386</v>
      </c>
      <c r="D82" s="16">
        <v>0</v>
      </c>
      <c r="E82" s="17">
        <v>1980</v>
      </c>
      <c r="F82" s="17">
        <f t="shared" si="46"/>
        <v>43</v>
      </c>
      <c r="G82" s="18" t="s">
        <v>200</v>
      </c>
      <c r="H82" s="18" t="s">
        <v>251</v>
      </c>
      <c r="I82" s="17">
        <v>0</v>
      </c>
      <c r="J82" s="18">
        <f t="shared" si="47"/>
        <v>4.6559999999999997</v>
      </c>
      <c r="K82" s="17">
        <v>97</v>
      </c>
      <c r="L82" s="17">
        <v>165</v>
      </c>
      <c r="M82" s="18">
        <f t="shared" si="61"/>
        <v>35.629017447199267</v>
      </c>
      <c r="N82" s="17">
        <v>0</v>
      </c>
      <c r="O82" s="17">
        <v>1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9" t="s">
        <v>252</v>
      </c>
      <c r="W82" s="17">
        <v>48</v>
      </c>
      <c r="X82" s="20">
        <v>30</v>
      </c>
      <c r="Y82" s="17">
        <v>2</v>
      </c>
      <c r="Z82" s="17">
        <v>7</v>
      </c>
      <c r="AA82" s="17">
        <v>182</v>
      </c>
      <c r="AB82" s="17">
        <v>130</v>
      </c>
      <c r="AC82" s="17">
        <v>70</v>
      </c>
      <c r="AD82" s="18">
        <f t="shared" si="48"/>
        <v>90</v>
      </c>
      <c r="AE82" s="18">
        <v>18</v>
      </c>
      <c r="AF82" s="17">
        <v>41</v>
      </c>
      <c r="AG82" s="17">
        <v>1</v>
      </c>
      <c r="AH82" s="17">
        <v>1</v>
      </c>
      <c r="AI82" s="17">
        <v>1</v>
      </c>
      <c r="AJ82" s="17">
        <v>5</v>
      </c>
      <c r="AK82" s="18">
        <v>15</v>
      </c>
      <c r="AL82" s="18">
        <v>5.6</v>
      </c>
      <c r="AM82" s="18">
        <v>200</v>
      </c>
      <c r="AN82" s="18">
        <v>47</v>
      </c>
      <c r="AO82" s="18">
        <v>300</v>
      </c>
      <c r="AP82" s="18">
        <v>16</v>
      </c>
      <c r="AQ82" s="18">
        <v>29</v>
      </c>
      <c r="AR82" s="18">
        <v>6.4</v>
      </c>
      <c r="AT82" s="18">
        <v>5.9</v>
      </c>
      <c r="AX82" s="17">
        <v>70</v>
      </c>
      <c r="AY82" s="18">
        <v>1.6</v>
      </c>
      <c r="BA82" s="5">
        <v>1.52</v>
      </c>
      <c r="BB82" s="5">
        <v>0.31</v>
      </c>
      <c r="BC82" s="21">
        <v>40</v>
      </c>
      <c r="BD82" s="17">
        <v>129</v>
      </c>
      <c r="BE82" s="21">
        <v>5.4</v>
      </c>
      <c r="BF82" s="17">
        <v>100</v>
      </c>
      <c r="BG82" s="17">
        <v>410</v>
      </c>
      <c r="BH82" s="17">
        <v>409</v>
      </c>
      <c r="BI82" s="17">
        <v>9260</v>
      </c>
      <c r="BJ82" s="17">
        <v>344</v>
      </c>
      <c r="BK82" s="18"/>
      <c r="BL82" s="18"/>
      <c r="BM82" s="18">
        <v>7.3</v>
      </c>
      <c r="BN82" s="17">
        <v>25</v>
      </c>
      <c r="BO82" s="17">
        <v>148</v>
      </c>
      <c r="BP82" s="21">
        <v>12</v>
      </c>
      <c r="BQ82" s="21">
        <f>BO82/BR82</f>
        <v>422.85714285714289</v>
      </c>
      <c r="BR82" s="18">
        <v>0.35</v>
      </c>
      <c r="BS82" s="10">
        <v>2.27</v>
      </c>
      <c r="BT82" s="18">
        <v>4.5</v>
      </c>
      <c r="BU82" s="20">
        <v>30</v>
      </c>
      <c r="BV82" s="22">
        <v>70.328705900973191</v>
      </c>
      <c r="BW82" s="18">
        <f t="shared" si="49"/>
        <v>1</v>
      </c>
      <c r="BX82" s="18">
        <f t="shared" si="50"/>
        <v>0</v>
      </c>
      <c r="BY82" s="18">
        <f t="shared" si="51"/>
        <v>1</v>
      </c>
      <c r="BZ82" s="18">
        <f t="shared" si="52"/>
        <v>2</v>
      </c>
      <c r="CA82" s="22">
        <v>1</v>
      </c>
      <c r="CB82" s="22">
        <v>1</v>
      </c>
      <c r="CC82" s="22">
        <v>1</v>
      </c>
      <c r="CD82" s="22">
        <v>0</v>
      </c>
      <c r="CE82" s="22">
        <v>0</v>
      </c>
      <c r="CF82" s="22">
        <f t="shared" si="53"/>
        <v>3</v>
      </c>
      <c r="CG82" s="22">
        <v>1</v>
      </c>
      <c r="CH82" s="22">
        <v>6</v>
      </c>
      <c r="CI82" s="23">
        <v>0</v>
      </c>
      <c r="CJ82" s="23">
        <v>1</v>
      </c>
      <c r="CK82" s="23">
        <v>0</v>
      </c>
      <c r="CL82" s="23">
        <v>0</v>
      </c>
      <c r="CM82" s="23">
        <v>4</v>
      </c>
      <c r="CN82" s="23" t="s">
        <v>219</v>
      </c>
      <c r="CO82" s="18" t="s">
        <v>253</v>
      </c>
      <c r="CP82" s="18" t="s">
        <v>205</v>
      </c>
      <c r="CQ82" s="18">
        <v>180</v>
      </c>
      <c r="CR82" s="18">
        <v>1500</v>
      </c>
      <c r="CS82" s="18" t="s">
        <v>206</v>
      </c>
      <c r="CT82" s="18" t="s">
        <v>207</v>
      </c>
      <c r="CU82" s="17">
        <f>BI82</f>
        <v>9260</v>
      </c>
      <c r="CV82" s="18" t="s">
        <v>209</v>
      </c>
      <c r="CW82" s="17">
        <v>2900</v>
      </c>
      <c r="CX82" s="21">
        <v>1.5</v>
      </c>
      <c r="CY82" s="17">
        <v>4300</v>
      </c>
      <c r="DB82" s="17">
        <v>1</v>
      </c>
      <c r="DC82" s="17">
        <v>1</v>
      </c>
      <c r="DD82" s="17">
        <v>3</v>
      </c>
      <c r="DE82" s="17">
        <v>172</v>
      </c>
      <c r="DF82" s="17">
        <v>28</v>
      </c>
      <c r="DG82" s="21">
        <v>7.3</v>
      </c>
      <c r="DH82" s="18">
        <v>3.8</v>
      </c>
      <c r="DI82" s="18">
        <v>118</v>
      </c>
      <c r="DJ82" s="18">
        <v>32</v>
      </c>
      <c r="DK82" s="17">
        <v>60</v>
      </c>
      <c r="DL82" s="21">
        <v>16</v>
      </c>
      <c r="DM82" s="21">
        <v>36</v>
      </c>
      <c r="DN82" s="18"/>
      <c r="DO82" s="18">
        <v>6.6</v>
      </c>
      <c r="DP82" s="21">
        <v>14</v>
      </c>
      <c r="DQ82" s="18">
        <v>1.1000000000000001</v>
      </c>
      <c r="DR82" s="18">
        <v>83</v>
      </c>
      <c r="DY82" s="18">
        <v>135</v>
      </c>
      <c r="DZ82" s="18">
        <v>3</v>
      </c>
      <c r="EA82" s="18">
        <v>100</v>
      </c>
      <c r="EB82" s="18"/>
      <c r="EC82" s="18"/>
      <c r="ED82" s="17">
        <v>1856</v>
      </c>
      <c r="EE82" s="18">
        <v>7.4</v>
      </c>
      <c r="EF82" s="18">
        <v>41</v>
      </c>
      <c r="EG82" s="18">
        <v>114</v>
      </c>
      <c r="EH82" s="18">
        <v>26</v>
      </c>
      <c r="EI82" s="18">
        <f>EG82/0.21</f>
        <v>542.85714285714289</v>
      </c>
      <c r="EJ82" s="18">
        <v>0.3</v>
      </c>
      <c r="EL82" s="18"/>
      <c r="EM82" s="18">
        <v>3</v>
      </c>
      <c r="EN82" s="22">
        <v>21</v>
      </c>
      <c r="EO82" s="22">
        <v>38.912303341323486</v>
      </c>
      <c r="EP82" s="18">
        <f t="shared" si="54"/>
        <v>1</v>
      </c>
      <c r="EQ82" s="18">
        <f t="shared" si="55"/>
        <v>1</v>
      </c>
      <c r="ER82" s="18">
        <f t="shared" si="56"/>
        <v>0</v>
      </c>
      <c r="ES82" s="18">
        <f t="shared" si="57"/>
        <v>2</v>
      </c>
      <c r="ET82" s="22">
        <v>0</v>
      </c>
      <c r="EU82" s="22">
        <v>1</v>
      </c>
      <c r="EV82" s="22">
        <v>0</v>
      </c>
      <c r="EW82" s="22">
        <v>0</v>
      </c>
      <c r="EX82" s="22">
        <v>0</v>
      </c>
      <c r="EY82" s="22">
        <f t="shared" si="58"/>
        <v>1</v>
      </c>
      <c r="EZ82" s="22">
        <v>5</v>
      </c>
      <c r="FA82" s="18" t="s">
        <v>254</v>
      </c>
      <c r="FB82" s="18" t="s">
        <v>208</v>
      </c>
      <c r="FC82" s="18">
        <v>12</v>
      </c>
      <c r="FD82" s="18">
        <v>113</v>
      </c>
      <c r="FE82" s="18">
        <v>33</v>
      </c>
      <c r="FF82" s="18">
        <v>72</v>
      </c>
      <c r="FG82" s="18">
        <v>9.6</v>
      </c>
      <c r="FH82" s="18">
        <v>29</v>
      </c>
      <c r="FI82" s="18">
        <v>114</v>
      </c>
      <c r="FJ82" s="18">
        <v>4.7</v>
      </c>
      <c r="FK82" s="18">
        <v>20</v>
      </c>
      <c r="FL82" s="18">
        <v>0.8</v>
      </c>
      <c r="FM82" s="18">
        <v>112</v>
      </c>
      <c r="FN82" s="18">
        <v>135</v>
      </c>
      <c r="FO82" s="18">
        <v>3.5</v>
      </c>
      <c r="FP82" s="18">
        <v>102</v>
      </c>
      <c r="FQ82" s="18"/>
      <c r="FR82" s="18"/>
      <c r="FS82" s="18">
        <v>784</v>
      </c>
      <c r="FT82" s="18">
        <v>7.4</v>
      </c>
      <c r="FU82" s="18">
        <v>48.8</v>
      </c>
      <c r="FV82" s="18">
        <v>80</v>
      </c>
      <c r="FW82" s="18">
        <v>29</v>
      </c>
      <c r="FX82" s="18">
        <v>0.21</v>
      </c>
      <c r="FY82" s="18">
        <v>380.95238095238096</v>
      </c>
      <c r="FZ82" s="18"/>
      <c r="GA82" s="18">
        <v>3</v>
      </c>
      <c r="GB82" s="22">
        <v>5</v>
      </c>
      <c r="GC82" s="22">
        <v>20</v>
      </c>
      <c r="GD82" s="22">
        <v>1</v>
      </c>
      <c r="GE82" s="22">
        <v>35.50303460262775</v>
      </c>
      <c r="GF82" s="18">
        <f t="shared" si="59"/>
        <v>0.79956803455723546</v>
      </c>
      <c r="GG82" s="17">
        <f t="shared" si="62"/>
        <v>7404</v>
      </c>
      <c r="GH82" s="17">
        <f t="shared" si="60"/>
        <v>2</v>
      </c>
      <c r="GI82" s="17">
        <f t="shared" si="45"/>
        <v>10</v>
      </c>
      <c r="GJ82" s="18">
        <f>ED82-FS82</f>
        <v>1072</v>
      </c>
      <c r="GK82" s="24">
        <f>GJ82/ED82</f>
        <v>0.57758620689655171</v>
      </c>
    </row>
    <row r="83" spans="1:193" ht="18" customHeight="1" x14ac:dyDescent="0.45">
      <c r="A83" s="14">
        <v>81</v>
      </c>
      <c r="B83" s="35">
        <v>220004967</v>
      </c>
      <c r="C83" s="15" t="s">
        <v>431</v>
      </c>
      <c r="D83" s="16">
        <v>0</v>
      </c>
      <c r="E83" s="17">
        <v>1977</v>
      </c>
      <c r="F83" s="17">
        <f t="shared" si="46"/>
        <v>46</v>
      </c>
      <c r="G83" s="18" t="s">
        <v>211</v>
      </c>
      <c r="H83" s="18" t="s">
        <v>286</v>
      </c>
      <c r="I83" s="17">
        <v>1</v>
      </c>
      <c r="J83" s="18">
        <f t="shared" si="47"/>
        <v>2.88</v>
      </c>
      <c r="K83" s="17">
        <v>60</v>
      </c>
      <c r="L83" s="17">
        <v>156</v>
      </c>
      <c r="M83" s="18">
        <f t="shared" si="61"/>
        <v>24.654832347140037</v>
      </c>
      <c r="N83" s="17">
        <v>1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9" t="s">
        <v>326</v>
      </c>
      <c r="W83" s="17">
        <v>6</v>
      </c>
      <c r="X83" s="20">
        <v>11</v>
      </c>
      <c r="Y83" s="17">
        <v>1</v>
      </c>
      <c r="Z83" s="17">
        <v>7</v>
      </c>
      <c r="AA83" s="17">
        <v>120</v>
      </c>
      <c r="AB83" s="17">
        <v>100</v>
      </c>
      <c r="AC83" s="17">
        <v>60</v>
      </c>
      <c r="AD83" s="18">
        <f t="shared" si="48"/>
        <v>73.333333333333329</v>
      </c>
      <c r="AE83" s="18">
        <v>22</v>
      </c>
      <c r="AF83" s="17">
        <v>37</v>
      </c>
      <c r="AG83" s="17">
        <v>1</v>
      </c>
      <c r="AH83" s="17">
        <v>1</v>
      </c>
      <c r="AI83" s="17">
        <v>0</v>
      </c>
      <c r="AJ83" s="17">
        <v>13</v>
      </c>
      <c r="AK83" s="18">
        <v>13</v>
      </c>
      <c r="AL83" s="18">
        <v>4.4000000000000004</v>
      </c>
      <c r="AM83" s="18">
        <v>144</v>
      </c>
      <c r="AN83" s="18">
        <v>40</v>
      </c>
      <c r="AO83" s="18">
        <v>283</v>
      </c>
      <c r="AP83" s="18">
        <v>12</v>
      </c>
      <c r="AQ83" s="18">
        <v>32</v>
      </c>
      <c r="AR83" s="18">
        <v>6.63</v>
      </c>
      <c r="AS83" s="21">
        <v>220</v>
      </c>
      <c r="AT83" s="18"/>
      <c r="AX83" s="17">
        <v>8</v>
      </c>
      <c r="AY83" s="18">
        <v>0.6</v>
      </c>
      <c r="BA83" s="5">
        <v>0.32</v>
      </c>
      <c r="BB83" s="5">
        <v>1.28</v>
      </c>
      <c r="BC83" s="21">
        <v>109</v>
      </c>
      <c r="BD83" s="17">
        <v>134</v>
      </c>
      <c r="BE83" s="21">
        <v>3.7</v>
      </c>
      <c r="BF83" s="17">
        <v>104</v>
      </c>
      <c r="BG83" s="17">
        <v>618</v>
      </c>
      <c r="BH83" s="17">
        <v>772</v>
      </c>
      <c r="BI83" s="17">
        <v>7010</v>
      </c>
      <c r="BJ83" s="17">
        <v>215</v>
      </c>
      <c r="BK83" s="18">
        <v>8.8000000000000007</v>
      </c>
      <c r="BL83" s="18"/>
      <c r="BM83" s="18">
        <v>7.33</v>
      </c>
      <c r="BN83" s="17">
        <v>28</v>
      </c>
      <c r="BO83" s="17">
        <v>73</v>
      </c>
      <c r="BP83" s="21">
        <v>17</v>
      </c>
      <c r="BQ83" s="21">
        <f>BO83/BR83</f>
        <v>125.86206896551725</v>
      </c>
      <c r="BR83" s="18">
        <v>0.57999999999999996</v>
      </c>
      <c r="BS83" s="10">
        <v>2.65</v>
      </c>
      <c r="BT83" s="18">
        <v>1.38</v>
      </c>
      <c r="BU83" s="20">
        <v>11</v>
      </c>
      <c r="BV83" s="22">
        <v>12.886854903027482</v>
      </c>
      <c r="BW83" s="18">
        <f t="shared" si="49"/>
        <v>1</v>
      </c>
      <c r="BX83" s="18">
        <f t="shared" si="50"/>
        <v>1</v>
      </c>
      <c r="BY83" s="18">
        <f t="shared" si="51"/>
        <v>0</v>
      </c>
      <c r="BZ83" s="18">
        <f t="shared" si="52"/>
        <v>2</v>
      </c>
      <c r="CA83" s="22">
        <v>0</v>
      </c>
      <c r="CB83" s="22">
        <v>0</v>
      </c>
      <c r="CC83" s="22">
        <v>1</v>
      </c>
      <c r="CD83" s="22">
        <v>0</v>
      </c>
      <c r="CE83" s="22">
        <v>0</v>
      </c>
      <c r="CF83" s="22">
        <f t="shared" si="53"/>
        <v>1</v>
      </c>
      <c r="CG83" s="22">
        <v>1</v>
      </c>
      <c r="CH83" s="22">
        <v>4</v>
      </c>
      <c r="CI83" s="23">
        <v>0</v>
      </c>
      <c r="CJ83" s="23">
        <v>0</v>
      </c>
      <c r="CK83" s="23">
        <v>0</v>
      </c>
      <c r="CL83" s="23">
        <v>0</v>
      </c>
      <c r="CM83" s="23">
        <v>4</v>
      </c>
      <c r="CN83" s="23" t="s">
        <v>203</v>
      </c>
      <c r="CO83" s="18" t="s">
        <v>327</v>
      </c>
      <c r="CP83" s="18" t="s">
        <v>235</v>
      </c>
      <c r="CQ83" s="18">
        <v>180</v>
      </c>
      <c r="CR83" s="18">
        <v>1500</v>
      </c>
      <c r="CS83" s="18" t="s">
        <v>236</v>
      </c>
      <c r="CT83" s="18" t="s">
        <v>207</v>
      </c>
      <c r="CU83" s="17">
        <f>BI83</f>
        <v>7010</v>
      </c>
      <c r="CV83" s="18" t="s">
        <v>208</v>
      </c>
      <c r="CW83" s="17">
        <v>1800</v>
      </c>
      <c r="CX83" s="21">
        <v>1.5</v>
      </c>
      <c r="CY83" s="17">
        <v>2800</v>
      </c>
      <c r="DB83" s="17">
        <v>1</v>
      </c>
      <c r="DC83" s="17">
        <v>4</v>
      </c>
      <c r="DD83" s="17">
        <v>3</v>
      </c>
      <c r="DE83" s="17">
        <v>100</v>
      </c>
      <c r="DF83" s="17">
        <v>19</v>
      </c>
      <c r="DG83" s="21">
        <v>11</v>
      </c>
      <c r="DH83" s="18">
        <v>3.9</v>
      </c>
      <c r="DI83" s="18">
        <v>120</v>
      </c>
      <c r="DJ83" s="18">
        <v>35</v>
      </c>
      <c r="DK83" s="17">
        <v>211</v>
      </c>
      <c r="DL83" s="21">
        <v>11</v>
      </c>
      <c r="DM83" s="21">
        <v>30</v>
      </c>
      <c r="DN83" s="18">
        <v>116</v>
      </c>
      <c r="DO83" s="18">
        <v>3.8</v>
      </c>
      <c r="DP83" s="21">
        <v>6</v>
      </c>
      <c r="DQ83" s="18">
        <v>0.5</v>
      </c>
      <c r="DR83" s="18">
        <v>113</v>
      </c>
      <c r="DY83" s="18">
        <v>143</v>
      </c>
      <c r="DZ83" s="18">
        <v>3.4</v>
      </c>
      <c r="EA83" s="18">
        <v>107</v>
      </c>
      <c r="EB83" s="18"/>
      <c r="EC83" s="18"/>
      <c r="ED83" s="17">
        <v>603</v>
      </c>
      <c r="EE83" s="18">
        <v>7.49</v>
      </c>
      <c r="EF83" s="18">
        <v>32</v>
      </c>
      <c r="EG83" s="18">
        <v>70</v>
      </c>
      <c r="EH83" s="18">
        <v>24</v>
      </c>
      <c r="EI83" s="18">
        <f>EG83/0.21</f>
        <v>333.33333333333337</v>
      </c>
      <c r="EJ83" s="18">
        <f>EG83/EI83</f>
        <v>0.20999999999999996</v>
      </c>
      <c r="EL83" s="18">
        <v>1.1000000000000001</v>
      </c>
      <c r="EM83" s="18">
        <v>15</v>
      </c>
      <c r="EN83" s="22">
        <v>8</v>
      </c>
      <c r="EO83" s="22">
        <v>8.7145290593121416</v>
      </c>
      <c r="EP83" s="18">
        <f t="shared" si="54"/>
        <v>1</v>
      </c>
      <c r="EQ83" s="18">
        <f t="shared" si="55"/>
        <v>0</v>
      </c>
      <c r="ER83" s="18">
        <f t="shared" si="56"/>
        <v>0</v>
      </c>
      <c r="ES83" s="18">
        <f t="shared" si="57"/>
        <v>1</v>
      </c>
      <c r="ET83" s="22">
        <v>0</v>
      </c>
      <c r="EU83" s="22">
        <v>0</v>
      </c>
      <c r="EV83" s="22">
        <v>1</v>
      </c>
      <c r="EW83" s="22">
        <v>0</v>
      </c>
      <c r="EX83" s="22">
        <v>0</v>
      </c>
      <c r="EY83" s="22">
        <f t="shared" si="58"/>
        <v>1</v>
      </c>
      <c r="EZ83" s="22">
        <v>2</v>
      </c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7">
        <v>603</v>
      </c>
      <c r="FT83" s="18"/>
      <c r="FU83" s="18"/>
      <c r="FV83" s="18"/>
      <c r="FW83" s="18"/>
      <c r="FX83" s="18"/>
      <c r="FY83" s="18"/>
      <c r="FZ83" s="18"/>
      <c r="GA83" s="18"/>
      <c r="GB83" s="22">
        <v>2</v>
      </c>
      <c r="GC83" s="22">
        <v>8</v>
      </c>
      <c r="GD83" s="22">
        <v>0</v>
      </c>
      <c r="GE83" s="18"/>
      <c r="GF83" s="18">
        <f t="shared" si="59"/>
        <v>0.91398002853067051</v>
      </c>
      <c r="GG83" s="17">
        <f t="shared" si="62"/>
        <v>6407</v>
      </c>
      <c r="GH83" s="17">
        <f t="shared" si="60"/>
        <v>0</v>
      </c>
      <c r="GI83" s="17">
        <f t="shared" si="45"/>
        <v>3</v>
      </c>
    </row>
    <row r="84" spans="1:193" ht="18" customHeight="1" x14ac:dyDescent="0.45">
      <c r="A84" s="14">
        <v>82</v>
      </c>
      <c r="B84" s="35">
        <v>2190125338</v>
      </c>
      <c r="C84" s="15" t="s">
        <v>315</v>
      </c>
      <c r="D84" s="16">
        <v>0</v>
      </c>
      <c r="E84" s="17">
        <v>1975</v>
      </c>
      <c r="F84" s="17">
        <f t="shared" si="46"/>
        <v>48</v>
      </c>
      <c r="G84" s="18" t="s">
        <v>237</v>
      </c>
      <c r="H84" s="18" t="s">
        <v>212</v>
      </c>
      <c r="I84" s="17">
        <v>0</v>
      </c>
      <c r="J84" s="18">
        <f t="shared" si="47"/>
        <v>3.36</v>
      </c>
      <c r="K84" s="17">
        <v>70</v>
      </c>
      <c r="L84" s="17">
        <v>172</v>
      </c>
      <c r="M84" s="18">
        <f t="shared" si="61"/>
        <v>23.661438615467823</v>
      </c>
      <c r="N84" s="17">
        <v>0</v>
      </c>
      <c r="O84" s="17">
        <v>1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9">
        <v>44782</v>
      </c>
      <c r="W84" s="17">
        <v>24</v>
      </c>
      <c r="X84" s="20">
        <v>29</v>
      </c>
      <c r="Y84" s="17">
        <v>1</v>
      </c>
      <c r="Z84" s="17">
        <v>14</v>
      </c>
      <c r="AA84" s="17">
        <v>130</v>
      </c>
      <c r="AB84" s="17">
        <v>60</v>
      </c>
      <c r="AC84" s="17">
        <v>40</v>
      </c>
      <c r="AD84" s="18">
        <f t="shared" si="48"/>
        <v>46.666666666666664</v>
      </c>
      <c r="AE84" s="18">
        <v>25</v>
      </c>
      <c r="AF84" s="17">
        <v>37</v>
      </c>
      <c r="AG84" s="17">
        <v>1</v>
      </c>
      <c r="AH84" s="17">
        <v>0</v>
      </c>
      <c r="AI84" s="17">
        <v>1</v>
      </c>
      <c r="AJ84" s="17">
        <v>3</v>
      </c>
      <c r="AK84" s="18">
        <v>7.4</v>
      </c>
      <c r="AL84" s="18">
        <v>3.9</v>
      </c>
      <c r="AM84" s="18">
        <v>141</v>
      </c>
      <c r="AN84" s="18">
        <v>40</v>
      </c>
      <c r="AO84" s="18">
        <v>90</v>
      </c>
      <c r="AP84" s="18">
        <v>18</v>
      </c>
      <c r="AQ84" s="18">
        <v>33</v>
      </c>
      <c r="AR84" s="18">
        <v>4.4000000000000004</v>
      </c>
      <c r="AT84" s="18"/>
      <c r="AX84" s="17">
        <v>19</v>
      </c>
      <c r="AY84" s="18">
        <v>2.5</v>
      </c>
      <c r="BA84" s="5">
        <v>0.06</v>
      </c>
      <c r="BB84" s="5">
        <v>2.5</v>
      </c>
      <c r="BC84" s="21">
        <v>28.7</v>
      </c>
      <c r="BD84" s="17">
        <v>137</v>
      </c>
      <c r="BE84" s="21">
        <v>3.9</v>
      </c>
      <c r="BF84" s="17">
        <v>103</v>
      </c>
      <c r="BG84" s="17">
        <v>1550</v>
      </c>
      <c r="BH84" s="17">
        <v>5075</v>
      </c>
      <c r="BI84" s="17">
        <v>2430</v>
      </c>
      <c r="BJ84" s="17">
        <v>335</v>
      </c>
      <c r="BK84" s="18"/>
      <c r="BL84" s="18">
        <v>10</v>
      </c>
      <c r="BM84" s="18">
        <v>7.29</v>
      </c>
      <c r="BN84" s="17">
        <v>44</v>
      </c>
      <c r="BO84" s="17">
        <v>212</v>
      </c>
      <c r="BP84" s="21">
        <v>22</v>
      </c>
      <c r="BQ84" s="21">
        <f>BO84/BR84</f>
        <v>385.45454545454544</v>
      </c>
      <c r="BR84" s="18">
        <v>0.55000000000000004</v>
      </c>
      <c r="BT84" s="18">
        <v>7.8</v>
      </c>
      <c r="BU84" s="20">
        <v>29</v>
      </c>
      <c r="BV84" s="22">
        <v>67.194605485035481</v>
      </c>
      <c r="BW84" s="18">
        <f t="shared" si="49"/>
        <v>1</v>
      </c>
      <c r="BX84" s="18">
        <f t="shared" si="50"/>
        <v>1</v>
      </c>
      <c r="BY84" s="18">
        <f t="shared" si="51"/>
        <v>0</v>
      </c>
      <c r="BZ84" s="18">
        <f t="shared" si="52"/>
        <v>2</v>
      </c>
      <c r="CA84" s="22">
        <v>0</v>
      </c>
      <c r="CB84" s="22">
        <v>1</v>
      </c>
      <c r="CC84" s="22">
        <v>1</v>
      </c>
      <c r="CD84" s="22">
        <v>0</v>
      </c>
      <c r="CE84" s="22">
        <v>1</v>
      </c>
      <c r="CF84" s="22">
        <f t="shared" si="53"/>
        <v>3</v>
      </c>
      <c r="CG84" s="22">
        <v>1</v>
      </c>
      <c r="CH84" s="22">
        <v>10</v>
      </c>
      <c r="CI84" s="23">
        <v>1</v>
      </c>
      <c r="CJ84" s="23">
        <v>0</v>
      </c>
      <c r="CK84" s="23">
        <v>0</v>
      </c>
      <c r="CL84" s="23">
        <v>0</v>
      </c>
      <c r="CM84" s="23">
        <v>8</v>
      </c>
      <c r="CN84" s="23" t="s">
        <v>203</v>
      </c>
      <c r="CO84" s="18" t="s">
        <v>364</v>
      </c>
      <c r="CP84" s="18" t="s">
        <v>205</v>
      </c>
      <c r="CQ84" s="18">
        <v>180</v>
      </c>
      <c r="CR84" s="18">
        <v>1500</v>
      </c>
      <c r="CS84" s="18" t="s">
        <v>206</v>
      </c>
      <c r="CT84" s="18" t="s">
        <v>207</v>
      </c>
      <c r="CU84" s="17">
        <f>BI84</f>
        <v>2430</v>
      </c>
      <c r="CV84" s="18" t="s">
        <v>208</v>
      </c>
      <c r="CW84" s="17">
        <v>3000</v>
      </c>
      <c r="CX84" s="21">
        <v>1.5</v>
      </c>
      <c r="CY84" s="17">
        <v>4500</v>
      </c>
      <c r="DB84" s="17">
        <v>1</v>
      </c>
      <c r="DC84" s="17">
        <v>1</v>
      </c>
      <c r="DD84" s="17">
        <v>3</v>
      </c>
      <c r="DE84" s="17">
        <v>120</v>
      </c>
      <c r="DF84" s="17">
        <v>21</v>
      </c>
      <c r="DG84" s="21">
        <v>18.2</v>
      </c>
      <c r="DH84" s="18">
        <v>3.5</v>
      </c>
      <c r="DI84" s="18">
        <v>115</v>
      </c>
      <c r="DJ84" s="18">
        <v>34</v>
      </c>
      <c r="DK84" s="17">
        <v>81</v>
      </c>
      <c r="DL84" s="21">
        <v>14.5</v>
      </c>
      <c r="DM84" s="21">
        <v>52</v>
      </c>
      <c r="DN84" s="18"/>
      <c r="DO84" s="18">
        <v>5.4</v>
      </c>
      <c r="DP84" s="21">
        <v>21</v>
      </c>
      <c r="DQ84" s="18">
        <v>1.8</v>
      </c>
      <c r="DR84" s="18">
        <v>43</v>
      </c>
      <c r="DY84" s="18">
        <v>138</v>
      </c>
      <c r="DZ84" s="18">
        <v>4.5</v>
      </c>
      <c r="EA84" s="18">
        <v>110</v>
      </c>
      <c r="EB84" s="18"/>
      <c r="EC84" s="18">
        <v>2527</v>
      </c>
      <c r="ED84" s="17">
        <v>1370</v>
      </c>
      <c r="EE84" s="18">
        <v>7.4</v>
      </c>
      <c r="EF84" s="18">
        <v>44</v>
      </c>
      <c r="EG84" s="18">
        <v>80</v>
      </c>
      <c r="EH84" s="18">
        <v>30</v>
      </c>
      <c r="EI84" s="18">
        <f>EG84/0.21</f>
        <v>380.95238095238096</v>
      </c>
      <c r="EJ84" s="18">
        <f>EG84/EI84</f>
        <v>0.21</v>
      </c>
      <c r="EL84" s="18"/>
      <c r="EM84" s="18">
        <v>15</v>
      </c>
      <c r="EN84" s="22">
        <v>12</v>
      </c>
      <c r="EO84" s="22">
        <v>14.616523039738205</v>
      </c>
      <c r="EP84" s="18">
        <f t="shared" si="54"/>
        <v>1</v>
      </c>
      <c r="EQ84" s="18">
        <f t="shared" si="55"/>
        <v>1</v>
      </c>
      <c r="ER84" s="18">
        <f t="shared" si="56"/>
        <v>0</v>
      </c>
      <c r="ES84" s="18">
        <f t="shared" si="57"/>
        <v>2</v>
      </c>
      <c r="ET84" s="22">
        <v>0</v>
      </c>
      <c r="EU84" s="22">
        <v>0</v>
      </c>
      <c r="EV84" s="22">
        <v>1</v>
      </c>
      <c r="EW84" s="22">
        <v>0</v>
      </c>
      <c r="EX84" s="22">
        <v>1</v>
      </c>
      <c r="EY84" s="22">
        <f t="shared" si="58"/>
        <v>2</v>
      </c>
      <c r="EZ84" s="22">
        <v>8</v>
      </c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7">
        <v>1370</v>
      </c>
      <c r="FT84" s="18"/>
      <c r="FU84" s="18"/>
      <c r="FV84" s="18"/>
      <c r="FW84" s="18"/>
      <c r="FX84" s="18"/>
      <c r="FY84" s="18"/>
      <c r="FZ84" s="18"/>
      <c r="GA84" s="18"/>
      <c r="GB84" s="22">
        <v>3</v>
      </c>
      <c r="GC84" s="22">
        <v>12</v>
      </c>
      <c r="GD84" s="22">
        <v>0</v>
      </c>
      <c r="GE84" s="18"/>
      <c r="GF84" s="18">
        <f t="shared" si="59"/>
        <v>0.43621399176954734</v>
      </c>
      <c r="GG84" s="17">
        <f t="shared" si="62"/>
        <v>1060</v>
      </c>
      <c r="GH84" s="17">
        <f t="shared" si="60"/>
        <v>1</v>
      </c>
      <c r="GI84" s="17">
        <f t="shared" si="45"/>
        <v>17</v>
      </c>
    </row>
    <row r="85" spans="1:193" ht="18" customHeight="1" x14ac:dyDescent="0.45">
      <c r="A85" s="14">
        <v>83</v>
      </c>
      <c r="B85" s="35">
        <v>2190092095</v>
      </c>
      <c r="C85" s="15" t="s">
        <v>362</v>
      </c>
      <c r="D85" s="16">
        <v>0</v>
      </c>
      <c r="E85" s="17">
        <v>1982</v>
      </c>
      <c r="F85" s="17">
        <f t="shared" si="46"/>
        <v>41</v>
      </c>
      <c r="G85" s="18" t="s">
        <v>200</v>
      </c>
      <c r="H85" s="18" t="s">
        <v>316</v>
      </c>
      <c r="I85" s="17">
        <v>1</v>
      </c>
      <c r="J85" s="18">
        <f t="shared" si="47"/>
        <v>2.7360000000000002</v>
      </c>
      <c r="K85" s="17">
        <v>57</v>
      </c>
      <c r="L85" s="17">
        <v>153</v>
      </c>
      <c r="M85" s="18">
        <f t="shared" si="61"/>
        <v>24.349609124695629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9" t="s">
        <v>421</v>
      </c>
      <c r="W85" s="17">
        <v>24</v>
      </c>
      <c r="X85" s="20">
        <v>19</v>
      </c>
      <c r="Y85" s="17">
        <v>1</v>
      </c>
      <c r="Z85" s="17">
        <v>9</v>
      </c>
      <c r="AA85" s="17">
        <v>120</v>
      </c>
      <c r="AB85" s="17">
        <v>95</v>
      </c>
      <c r="AC85" s="17">
        <v>50</v>
      </c>
      <c r="AD85" s="18">
        <f t="shared" si="48"/>
        <v>65</v>
      </c>
      <c r="AE85" s="18">
        <v>22</v>
      </c>
      <c r="AF85" s="17">
        <v>37</v>
      </c>
      <c r="AG85" s="17">
        <v>1</v>
      </c>
      <c r="AH85" s="17">
        <v>1</v>
      </c>
      <c r="AI85" s="17">
        <v>0</v>
      </c>
      <c r="AJ85" s="17">
        <v>13</v>
      </c>
      <c r="AK85" s="18">
        <v>14.5</v>
      </c>
      <c r="AL85" s="18">
        <v>5.63</v>
      </c>
      <c r="AM85" s="18">
        <v>171</v>
      </c>
      <c r="AN85" s="18">
        <v>37.6</v>
      </c>
      <c r="AO85" s="18">
        <v>382</v>
      </c>
      <c r="AP85" s="18">
        <v>14</v>
      </c>
      <c r="AQ85" s="18">
        <v>33</v>
      </c>
      <c r="AR85" s="18"/>
      <c r="AT85" s="18"/>
      <c r="AX85" s="17">
        <v>20.55</v>
      </c>
      <c r="AY85" s="18">
        <v>0.53</v>
      </c>
      <c r="BC85" s="21">
        <v>99</v>
      </c>
      <c r="BD85" s="17">
        <v>114</v>
      </c>
      <c r="BE85" s="21">
        <v>3.79</v>
      </c>
      <c r="BF85" s="17">
        <v>87</v>
      </c>
      <c r="BH85" s="17">
        <v>610</v>
      </c>
      <c r="BI85" s="17">
        <v>9368</v>
      </c>
      <c r="BJ85" s="17">
        <v>202</v>
      </c>
      <c r="BK85" s="18"/>
      <c r="BL85" s="18"/>
      <c r="BM85" s="18">
        <v>7.39</v>
      </c>
      <c r="BN85" s="17">
        <v>71</v>
      </c>
      <c r="BO85" s="17">
        <v>23</v>
      </c>
      <c r="BP85" s="21">
        <v>13.7</v>
      </c>
      <c r="BQ85" s="21">
        <v>338</v>
      </c>
      <c r="BR85" s="18">
        <v>0.21</v>
      </c>
      <c r="BT85" s="18">
        <v>4.37</v>
      </c>
      <c r="BU85" s="20">
        <v>19</v>
      </c>
      <c r="BV85" s="22">
        <v>32.234847500456446</v>
      </c>
      <c r="BW85" s="18">
        <f t="shared" si="49"/>
        <v>1</v>
      </c>
      <c r="BX85" s="18">
        <f t="shared" si="50"/>
        <v>1</v>
      </c>
      <c r="BY85" s="18">
        <f t="shared" si="51"/>
        <v>0</v>
      </c>
      <c r="BZ85" s="18">
        <f t="shared" si="52"/>
        <v>2</v>
      </c>
      <c r="CA85" s="22">
        <v>0</v>
      </c>
      <c r="CB85" s="22">
        <v>0</v>
      </c>
      <c r="CC85" s="22">
        <v>1</v>
      </c>
      <c r="CD85" s="22">
        <v>0</v>
      </c>
      <c r="CE85" s="22">
        <v>0</v>
      </c>
      <c r="CF85" s="22">
        <f t="shared" si="53"/>
        <v>1</v>
      </c>
      <c r="CG85" s="22">
        <v>1</v>
      </c>
      <c r="CH85" s="22">
        <v>3</v>
      </c>
      <c r="CI85" s="23">
        <v>1</v>
      </c>
      <c r="CJ85" s="23">
        <v>0</v>
      </c>
      <c r="CK85" s="23">
        <v>0</v>
      </c>
      <c r="CL85" s="23">
        <v>0</v>
      </c>
      <c r="CM85" s="23">
        <v>6</v>
      </c>
      <c r="CN85" s="23" t="s">
        <v>203</v>
      </c>
      <c r="CO85" s="18" t="s">
        <v>422</v>
      </c>
      <c r="CP85" s="18" t="s">
        <v>235</v>
      </c>
      <c r="CQ85" s="18">
        <v>150</v>
      </c>
      <c r="CR85" s="18">
        <v>700</v>
      </c>
      <c r="CS85" s="18" t="s">
        <v>236</v>
      </c>
      <c r="CT85" s="18" t="s">
        <v>207</v>
      </c>
      <c r="CU85" s="17">
        <f>BI85</f>
        <v>9368</v>
      </c>
      <c r="CV85" s="18" t="s">
        <v>208</v>
      </c>
      <c r="CW85" s="17">
        <v>2300</v>
      </c>
      <c r="CX85" s="21">
        <v>1.5</v>
      </c>
      <c r="CY85" s="17">
        <v>2800</v>
      </c>
      <c r="CZ85" s="17">
        <v>2300</v>
      </c>
      <c r="DA85" s="17">
        <v>600</v>
      </c>
      <c r="DB85" s="17">
        <v>1</v>
      </c>
      <c r="DC85" s="17">
        <v>0</v>
      </c>
      <c r="DD85" s="17">
        <v>3</v>
      </c>
      <c r="DE85" s="17">
        <v>110</v>
      </c>
      <c r="DF85" s="17">
        <v>18</v>
      </c>
      <c r="DG85" s="21">
        <v>13.8</v>
      </c>
      <c r="DH85" s="18">
        <v>5.56</v>
      </c>
      <c r="DI85" s="18">
        <v>127</v>
      </c>
      <c r="DJ85" s="18">
        <v>37</v>
      </c>
      <c r="DK85" s="17">
        <v>319</v>
      </c>
      <c r="DL85" s="21">
        <v>15</v>
      </c>
      <c r="DM85" s="21">
        <v>31</v>
      </c>
      <c r="DN85" s="18"/>
      <c r="DO85" s="18"/>
      <c r="DP85" s="21">
        <v>13</v>
      </c>
      <c r="DQ85" s="18">
        <v>0.53</v>
      </c>
      <c r="DR85" s="18">
        <v>127</v>
      </c>
      <c r="DY85" s="18">
        <v>135</v>
      </c>
      <c r="DZ85" s="18">
        <v>3.3</v>
      </c>
      <c r="EA85" s="18">
        <v>99</v>
      </c>
      <c r="EB85" s="18"/>
      <c r="EC85" s="18">
        <v>219</v>
      </c>
      <c r="ED85" s="17">
        <v>575</v>
      </c>
      <c r="EE85" s="18">
        <v>7.41</v>
      </c>
      <c r="EF85" s="18">
        <v>25</v>
      </c>
      <c r="EG85" s="18">
        <v>71</v>
      </c>
      <c r="EH85" s="18">
        <v>16</v>
      </c>
      <c r="EI85" s="18">
        <v>223</v>
      </c>
      <c r="EJ85" s="18">
        <v>32</v>
      </c>
      <c r="EL85" s="18">
        <v>3.84</v>
      </c>
      <c r="EM85" s="18">
        <v>15</v>
      </c>
      <c r="EN85" s="22">
        <v>14</v>
      </c>
      <c r="EO85" s="22">
        <v>18.648705693704155</v>
      </c>
      <c r="EP85" s="18">
        <f t="shared" si="54"/>
        <v>1</v>
      </c>
      <c r="EQ85" s="18">
        <f t="shared" si="55"/>
        <v>0</v>
      </c>
      <c r="ER85" s="18">
        <f t="shared" si="56"/>
        <v>0</v>
      </c>
      <c r="ES85" s="18">
        <f t="shared" si="57"/>
        <v>1</v>
      </c>
      <c r="ET85" s="22">
        <v>0</v>
      </c>
      <c r="EU85" s="22">
        <v>0</v>
      </c>
      <c r="EV85" s="22">
        <v>1</v>
      </c>
      <c r="EW85" s="22">
        <v>0</v>
      </c>
      <c r="EX85" s="22">
        <v>0</v>
      </c>
      <c r="EY85" s="22">
        <f t="shared" si="58"/>
        <v>1</v>
      </c>
      <c r="EZ85" s="22">
        <v>2</v>
      </c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7">
        <v>575</v>
      </c>
      <c r="FT85" s="18"/>
      <c r="FU85" s="18"/>
      <c r="FV85" s="18"/>
      <c r="FW85" s="18"/>
      <c r="FX85" s="18"/>
      <c r="FY85" s="18"/>
      <c r="FZ85" s="18"/>
      <c r="GA85" s="18"/>
      <c r="GB85" s="22">
        <v>2</v>
      </c>
      <c r="GC85" s="22">
        <v>14</v>
      </c>
      <c r="GD85" s="22">
        <v>0</v>
      </c>
      <c r="GE85" s="18"/>
      <c r="GF85" s="18">
        <f t="shared" si="59"/>
        <v>0.93862083689154574</v>
      </c>
      <c r="GG85" s="17">
        <f t="shared" si="62"/>
        <v>8793</v>
      </c>
      <c r="GH85" s="17">
        <f t="shared" si="60"/>
        <v>0</v>
      </c>
      <c r="GI85" s="17">
        <f t="shared" si="45"/>
        <v>5</v>
      </c>
    </row>
    <row r="86" spans="1:193" ht="18" customHeight="1" x14ac:dyDescent="0.45">
      <c r="A86" s="14">
        <v>84</v>
      </c>
      <c r="B86" s="35">
        <v>2190079737</v>
      </c>
      <c r="C86" s="15" t="s">
        <v>210</v>
      </c>
      <c r="D86" s="16">
        <v>0</v>
      </c>
      <c r="E86" s="17">
        <v>1992</v>
      </c>
      <c r="F86" s="17">
        <f t="shared" si="46"/>
        <v>31</v>
      </c>
      <c r="G86" s="18" t="s">
        <v>200</v>
      </c>
      <c r="H86" s="18" t="s">
        <v>234</v>
      </c>
      <c r="I86" s="17">
        <v>0</v>
      </c>
      <c r="J86" s="18">
        <f t="shared" si="47"/>
        <v>4.1760000000000002</v>
      </c>
      <c r="K86" s="17">
        <v>87</v>
      </c>
      <c r="L86" s="17">
        <v>172</v>
      </c>
      <c r="M86" s="18">
        <f t="shared" si="61"/>
        <v>29.407787993510009</v>
      </c>
      <c r="N86" s="17">
        <v>0</v>
      </c>
      <c r="O86" s="17">
        <v>0</v>
      </c>
      <c r="P86" s="17">
        <v>1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9" t="s">
        <v>336</v>
      </c>
      <c r="W86" s="17">
        <v>24</v>
      </c>
      <c r="X86" s="20">
        <v>10</v>
      </c>
      <c r="Y86" s="17">
        <v>1</v>
      </c>
      <c r="Z86" s="17">
        <v>12</v>
      </c>
      <c r="AA86" s="17">
        <v>112</v>
      </c>
      <c r="AB86" s="17">
        <v>120</v>
      </c>
      <c r="AC86" s="17">
        <v>70</v>
      </c>
      <c r="AD86" s="18">
        <f t="shared" si="48"/>
        <v>86.666666666666657</v>
      </c>
      <c r="AE86" s="18">
        <v>18</v>
      </c>
      <c r="AF86" s="17">
        <v>38.5</v>
      </c>
      <c r="AG86" s="17">
        <v>1</v>
      </c>
      <c r="AH86" s="17">
        <v>0</v>
      </c>
      <c r="AI86" s="17">
        <v>1</v>
      </c>
      <c r="AJ86" s="17">
        <v>13</v>
      </c>
      <c r="AK86" s="18">
        <v>20</v>
      </c>
      <c r="AL86" s="18">
        <v>5.29</v>
      </c>
      <c r="AM86" s="18">
        <v>155</v>
      </c>
      <c r="AN86" s="18">
        <v>43</v>
      </c>
      <c r="AO86" s="18">
        <v>300</v>
      </c>
      <c r="AP86" s="18">
        <v>13</v>
      </c>
      <c r="AQ86" s="18">
        <v>29</v>
      </c>
      <c r="AR86" s="18">
        <v>2.8</v>
      </c>
      <c r="AS86" s="21">
        <v>10</v>
      </c>
      <c r="AT86" s="18"/>
      <c r="AX86" s="17">
        <v>11</v>
      </c>
      <c r="AY86" s="18">
        <v>0.7</v>
      </c>
      <c r="BA86" s="5" t="s">
        <v>337</v>
      </c>
      <c r="BB86" s="5">
        <v>0.19</v>
      </c>
      <c r="BC86" s="21">
        <v>125</v>
      </c>
      <c r="BD86" s="17">
        <v>132</v>
      </c>
      <c r="BE86" s="21">
        <v>4.0999999999999996</v>
      </c>
      <c r="BF86" s="17">
        <v>100</v>
      </c>
      <c r="BG86" s="17">
        <v>686</v>
      </c>
      <c r="BH86" s="17">
        <v>785</v>
      </c>
      <c r="BI86" s="17">
        <v>2850</v>
      </c>
      <c r="BJ86" s="17">
        <v>147</v>
      </c>
      <c r="BK86" s="18"/>
      <c r="BL86" s="18"/>
      <c r="BM86" s="18">
        <v>7.4</v>
      </c>
      <c r="BO86" s="17">
        <v>67</v>
      </c>
      <c r="BP86" s="21">
        <v>21</v>
      </c>
      <c r="BQ86" s="21">
        <v>400</v>
      </c>
      <c r="BR86" s="18"/>
      <c r="BS86" s="10">
        <v>2.36</v>
      </c>
      <c r="BU86" s="20">
        <v>10</v>
      </c>
      <c r="BV86" s="22">
        <v>11.334697884966939</v>
      </c>
      <c r="BW86" s="18">
        <f t="shared" si="49"/>
        <v>1</v>
      </c>
      <c r="BX86" s="18">
        <f t="shared" si="50"/>
        <v>0</v>
      </c>
      <c r="BY86" s="18">
        <f t="shared" si="51"/>
        <v>0</v>
      </c>
      <c r="BZ86" s="18">
        <f t="shared" si="52"/>
        <v>1</v>
      </c>
      <c r="CA86" s="22">
        <v>0</v>
      </c>
      <c r="CB86" s="22">
        <v>0</v>
      </c>
      <c r="CC86" s="22">
        <v>1</v>
      </c>
      <c r="CD86" s="22">
        <v>0</v>
      </c>
      <c r="CE86" s="22">
        <v>1</v>
      </c>
      <c r="CF86" s="22">
        <f t="shared" si="53"/>
        <v>2</v>
      </c>
      <c r="CG86" s="22">
        <v>1</v>
      </c>
      <c r="CH86" s="22">
        <v>5</v>
      </c>
      <c r="CI86" s="23">
        <v>0</v>
      </c>
      <c r="CJ86" s="23">
        <v>0</v>
      </c>
      <c r="CK86" s="23">
        <v>1</v>
      </c>
      <c r="CL86" s="23">
        <v>0</v>
      </c>
      <c r="CM86" s="23">
        <v>4</v>
      </c>
      <c r="CN86" s="23" t="s">
        <v>203</v>
      </c>
      <c r="CO86" s="18" t="s">
        <v>338</v>
      </c>
      <c r="CP86" s="18" t="s">
        <v>235</v>
      </c>
      <c r="CQ86" s="18">
        <v>180</v>
      </c>
      <c r="CR86" s="18">
        <v>1500</v>
      </c>
      <c r="CS86" s="18" t="s">
        <v>236</v>
      </c>
      <c r="CT86" s="18" t="s">
        <v>207</v>
      </c>
      <c r="CU86" s="17">
        <f>BI86</f>
        <v>2850</v>
      </c>
      <c r="CV86" s="18" t="s">
        <v>208</v>
      </c>
      <c r="CW86" s="17">
        <v>3500</v>
      </c>
      <c r="CX86" s="21">
        <v>1.5</v>
      </c>
      <c r="CY86" s="17">
        <v>5200</v>
      </c>
      <c r="DB86" s="17">
        <v>1</v>
      </c>
      <c r="DC86" s="17">
        <v>1</v>
      </c>
      <c r="DD86" s="17">
        <v>3</v>
      </c>
      <c r="DE86" s="17">
        <v>102</v>
      </c>
      <c r="DF86" s="17">
        <v>15</v>
      </c>
      <c r="DG86" s="21">
        <v>13</v>
      </c>
      <c r="DH86" s="18">
        <v>5.5</v>
      </c>
      <c r="DI86" s="18">
        <v>147</v>
      </c>
      <c r="DJ86" s="18">
        <v>46</v>
      </c>
      <c r="DK86" s="17">
        <v>204</v>
      </c>
      <c r="DL86" s="21">
        <v>12</v>
      </c>
      <c r="DM86" s="21">
        <v>32</v>
      </c>
      <c r="DN86" s="18">
        <v>186</v>
      </c>
      <c r="DO86" s="18">
        <v>4.8</v>
      </c>
      <c r="DP86" s="21">
        <v>14</v>
      </c>
      <c r="DQ86" s="18">
        <v>0.9</v>
      </c>
      <c r="DR86" s="18">
        <v>112</v>
      </c>
      <c r="DY86" s="18">
        <v>135</v>
      </c>
      <c r="DZ86" s="18">
        <v>4</v>
      </c>
      <c r="EA86" s="18">
        <v>105</v>
      </c>
      <c r="EB86" s="18"/>
      <c r="EC86" s="18"/>
      <c r="ED86" s="17">
        <v>313</v>
      </c>
      <c r="EE86" s="18">
        <v>7.47</v>
      </c>
      <c r="EF86" s="18">
        <v>42</v>
      </c>
      <c r="EG86" s="18">
        <v>103</v>
      </c>
      <c r="EH86" s="18">
        <v>30</v>
      </c>
      <c r="EI86" s="18">
        <f>EG86/0.21</f>
        <v>490.47619047619048</v>
      </c>
      <c r="EJ86" s="18">
        <v>0.3</v>
      </c>
      <c r="EL86" s="18"/>
      <c r="EM86" s="18">
        <v>14</v>
      </c>
      <c r="EN86" s="22">
        <v>5</v>
      </c>
      <c r="EO86" s="22">
        <v>5.8030727493148637</v>
      </c>
      <c r="EP86" s="18">
        <f t="shared" si="54"/>
        <v>1</v>
      </c>
      <c r="EQ86" s="18">
        <f t="shared" si="55"/>
        <v>0</v>
      </c>
      <c r="ER86" s="18">
        <f t="shared" si="56"/>
        <v>0</v>
      </c>
      <c r="ES86" s="18">
        <f t="shared" si="57"/>
        <v>1</v>
      </c>
      <c r="ET86" s="22">
        <v>0</v>
      </c>
      <c r="EU86" s="22">
        <v>0</v>
      </c>
      <c r="EV86" s="22">
        <v>1</v>
      </c>
      <c r="EW86" s="22">
        <v>0</v>
      </c>
      <c r="EX86" s="22">
        <v>1</v>
      </c>
      <c r="EY86" s="22">
        <f t="shared" si="58"/>
        <v>2</v>
      </c>
      <c r="EZ86" s="22">
        <v>5</v>
      </c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7">
        <v>313</v>
      </c>
      <c r="FT86" s="18"/>
      <c r="FU86" s="18"/>
      <c r="FV86" s="18"/>
      <c r="FW86" s="18"/>
      <c r="FX86" s="18"/>
      <c r="FY86" s="18"/>
      <c r="FZ86" s="18"/>
      <c r="GA86" s="18"/>
      <c r="GB86" s="22">
        <v>5</v>
      </c>
      <c r="GC86" s="22">
        <v>5</v>
      </c>
      <c r="GD86" s="22">
        <v>0</v>
      </c>
      <c r="GE86" s="18"/>
      <c r="GF86" s="18">
        <f t="shared" si="59"/>
        <v>0.89017543859649118</v>
      </c>
      <c r="GG86" s="17">
        <f t="shared" si="62"/>
        <v>2537</v>
      </c>
      <c r="GH86" s="17">
        <f t="shared" si="60"/>
        <v>0</v>
      </c>
      <c r="GI86" s="17">
        <f t="shared" si="45"/>
        <v>5</v>
      </c>
    </row>
    <row r="87" spans="1:193" ht="18" customHeight="1" x14ac:dyDescent="0.45">
      <c r="A87" s="14">
        <v>85</v>
      </c>
      <c r="B87" s="35">
        <v>2190120801</v>
      </c>
      <c r="C87" s="15" t="s">
        <v>479</v>
      </c>
      <c r="D87" s="16">
        <v>1</v>
      </c>
      <c r="E87" s="17">
        <v>1977</v>
      </c>
      <c r="F87" s="17">
        <f t="shared" si="46"/>
        <v>46</v>
      </c>
      <c r="G87" s="18" t="s">
        <v>237</v>
      </c>
      <c r="H87" s="18" t="s">
        <v>234</v>
      </c>
      <c r="I87" s="17">
        <v>0</v>
      </c>
      <c r="J87" s="18">
        <f t="shared" si="47"/>
        <v>3.7440000000000002</v>
      </c>
      <c r="K87" s="17">
        <v>78</v>
      </c>
      <c r="L87" s="17">
        <v>178</v>
      </c>
      <c r="M87" s="18">
        <f t="shared" si="61"/>
        <v>24.618103774775911</v>
      </c>
      <c r="N87" s="17">
        <v>0</v>
      </c>
      <c r="O87" s="17">
        <v>1</v>
      </c>
      <c r="P87" s="17">
        <v>0</v>
      </c>
      <c r="Q87" s="17">
        <v>0</v>
      </c>
      <c r="R87" s="17">
        <v>0</v>
      </c>
      <c r="S87" s="17">
        <v>0</v>
      </c>
      <c r="T87" s="17">
        <v>1</v>
      </c>
      <c r="U87" s="17">
        <v>3</v>
      </c>
      <c r="V87" s="19" t="s">
        <v>444</v>
      </c>
      <c r="W87" s="17">
        <v>12</v>
      </c>
      <c r="X87" s="20">
        <v>9</v>
      </c>
      <c r="Y87" s="17">
        <v>1</v>
      </c>
      <c r="Z87" s="17">
        <v>9</v>
      </c>
      <c r="AA87" s="17">
        <v>70</v>
      </c>
      <c r="AB87" s="17">
        <v>160</v>
      </c>
      <c r="AC87" s="17">
        <v>80</v>
      </c>
      <c r="AD87" s="18">
        <f t="shared" si="48"/>
        <v>106.66666666666666</v>
      </c>
      <c r="AE87" s="18">
        <v>20</v>
      </c>
      <c r="AF87" s="17">
        <v>37</v>
      </c>
      <c r="AG87" s="17">
        <v>0</v>
      </c>
      <c r="AH87" s="17">
        <v>0</v>
      </c>
      <c r="AI87" s="17">
        <v>0</v>
      </c>
      <c r="AJ87" s="17">
        <v>15</v>
      </c>
      <c r="AK87" s="18">
        <v>10</v>
      </c>
      <c r="AL87" s="18">
        <v>4.5999999999999996</v>
      </c>
      <c r="AM87" s="18">
        <v>160</v>
      </c>
      <c r="AN87" s="18">
        <v>28</v>
      </c>
      <c r="AO87" s="18">
        <v>296</v>
      </c>
      <c r="AP87" s="18">
        <v>10</v>
      </c>
      <c r="AQ87" s="18">
        <v>32</v>
      </c>
      <c r="AR87" s="18"/>
      <c r="AS87" s="21">
        <v>11</v>
      </c>
      <c r="AT87" s="18"/>
      <c r="AX87" s="17">
        <v>40</v>
      </c>
      <c r="AY87" s="18">
        <v>0.41</v>
      </c>
      <c r="BA87" s="5">
        <v>0.3</v>
      </c>
      <c r="BB87" s="5">
        <v>0.22</v>
      </c>
      <c r="BC87" s="21">
        <v>131</v>
      </c>
      <c r="BD87" s="17">
        <v>129</v>
      </c>
      <c r="BE87" s="21">
        <v>3.26</v>
      </c>
      <c r="BF87" s="17">
        <v>99</v>
      </c>
      <c r="BH87" s="17">
        <v>1316</v>
      </c>
      <c r="BI87" s="17">
        <v>4797</v>
      </c>
      <c r="BJ87" s="17">
        <v>218</v>
      </c>
      <c r="BK87" s="18"/>
      <c r="BL87" s="18"/>
      <c r="BM87" s="18">
        <v>7.47</v>
      </c>
      <c r="BN87" s="17">
        <v>30</v>
      </c>
      <c r="BO87" s="17">
        <v>77</v>
      </c>
      <c r="BP87" s="21">
        <v>22</v>
      </c>
      <c r="BQ87" s="21">
        <v>400</v>
      </c>
      <c r="BR87" s="18">
        <f>BO87/BQ87</f>
        <v>0.1925</v>
      </c>
      <c r="BT87" s="18">
        <v>2.2000000000000002</v>
      </c>
      <c r="BU87" s="20">
        <v>9</v>
      </c>
      <c r="BV87" s="22">
        <v>9.9481411429015392</v>
      </c>
      <c r="BW87" s="18">
        <f t="shared" si="49"/>
        <v>0</v>
      </c>
      <c r="BX87" s="18">
        <f t="shared" si="50"/>
        <v>0</v>
      </c>
      <c r="BY87" s="18">
        <f t="shared" si="51"/>
        <v>1</v>
      </c>
      <c r="BZ87" s="18">
        <f t="shared" si="52"/>
        <v>1</v>
      </c>
      <c r="CA87" s="22">
        <v>1</v>
      </c>
      <c r="CB87" s="22">
        <v>0</v>
      </c>
      <c r="CC87" s="22">
        <v>0</v>
      </c>
      <c r="CD87" s="22">
        <v>0</v>
      </c>
      <c r="CE87" s="22">
        <v>0</v>
      </c>
      <c r="CF87" s="22">
        <f t="shared" si="53"/>
        <v>1</v>
      </c>
      <c r="CG87" s="22">
        <v>1</v>
      </c>
      <c r="CH87" s="22">
        <v>0</v>
      </c>
      <c r="CI87" s="23">
        <v>0</v>
      </c>
      <c r="CJ87" s="23">
        <v>0</v>
      </c>
      <c r="CK87" s="23">
        <v>0</v>
      </c>
      <c r="CL87" s="23">
        <v>0</v>
      </c>
      <c r="CM87" s="23">
        <v>3</v>
      </c>
      <c r="CN87" s="23" t="s">
        <v>214</v>
      </c>
      <c r="CO87" s="18" t="s">
        <v>445</v>
      </c>
      <c r="CP87" s="18" t="s">
        <v>235</v>
      </c>
      <c r="CQ87" s="18">
        <v>180</v>
      </c>
      <c r="CR87" s="18">
        <v>1200</v>
      </c>
      <c r="CS87" s="18" t="s">
        <v>236</v>
      </c>
      <c r="CT87" s="18" t="s">
        <v>244</v>
      </c>
      <c r="CU87" s="17">
        <v>4797</v>
      </c>
      <c r="CV87" s="18" t="s">
        <v>209</v>
      </c>
      <c r="CW87" s="17">
        <v>2800</v>
      </c>
      <c r="CX87" s="21">
        <v>1.5</v>
      </c>
      <c r="CY87" s="17">
        <v>4300</v>
      </c>
      <c r="CZ87" s="17">
        <v>3000</v>
      </c>
      <c r="DA87" s="17">
        <v>1000</v>
      </c>
      <c r="DB87" s="17">
        <v>1</v>
      </c>
      <c r="DC87" s="17">
        <v>0</v>
      </c>
      <c r="DD87" s="17">
        <v>3</v>
      </c>
      <c r="DE87" s="17">
        <v>60</v>
      </c>
      <c r="DF87" s="17">
        <v>18</v>
      </c>
      <c r="DG87" s="21">
        <v>8.4</v>
      </c>
      <c r="DH87" s="18">
        <v>3.5</v>
      </c>
      <c r="DI87" s="18">
        <v>123</v>
      </c>
      <c r="DJ87" s="18">
        <v>51.2</v>
      </c>
      <c r="DK87" s="17">
        <v>321</v>
      </c>
      <c r="DL87" s="21">
        <v>12</v>
      </c>
      <c r="DM87" s="21">
        <v>33</v>
      </c>
      <c r="DN87" s="18"/>
      <c r="DO87" s="18"/>
      <c r="DP87" s="21">
        <v>13</v>
      </c>
      <c r="DQ87" s="18">
        <v>0.47</v>
      </c>
      <c r="DR87" s="18">
        <v>87</v>
      </c>
      <c r="DY87" s="18">
        <v>140</v>
      </c>
      <c r="DZ87" s="18">
        <v>2.6</v>
      </c>
      <c r="EA87" s="18">
        <v>116</v>
      </c>
      <c r="EB87" s="18"/>
      <c r="EC87" s="18"/>
      <c r="ED87" s="17">
        <v>274</v>
      </c>
      <c r="EE87" s="18">
        <v>7.37</v>
      </c>
      <c r="EF87" s="18">
        <v>41</v>
      </c>
      <c r="EG87" s="18">
        <v>78</v>
      </c>
      <c r="EH87" s="18">
        <v>25</v>
      </c>
      <c r="EI87" s="18">
        <f>EG87/0.21</f>
        <v>371.42857142857144</v>
      </c>
      <c r="EJ87" s="18">
        <f t="shared" ref="EJ87:EJ92" si="63">EG87/EI87</f>
        <v>0.21</v>
      </c>
      <c r="EL87" s="18"/>
      <c r="EM87" s="18">
        <v>14</v>
      </c>
      <c r="EN87" s="22">
        <v>9</v>
      </c>
      <c r="EO87" s="22">
        <v>9.9481411429015392</v>
      </c>
      <c r="EP87" s="18">
        <f t="shared" si="54"/>
        <v>0</v>
      </c>
      <c r="EQ87" s="18">
        <f t="shared" si="55"/>
        <v>0</v>
      </c>
      <c r="ER87" s="18">
        <f t="shared" si="56"/>
        <v>0</v>
      </c>
      <c r="ES87" s="18">
        <f t="shared" si="57"/>
        <v>0</v>
      </c>
      <c r="ET87" s="22">
        <v>0</v>
      </c>
      <c r="EU87" s="22">
        <v>0</v>
      </c>
      <c r="EV87" s="22">
        <v>0</v>
      </c>
      <c r="EW87" s="22">
        <v>0</v>
      </c>
      <c r="EX87" s="22">
        <v>0</v>
      </c>
      <c r="EY87" s="22">
        <f t="shared" si="58"/>
        <v>0</v>
      </c>
      <c r="EZ87" s="22">
        <v>0</v>
      </c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7">
        <v>274</v>
      </c>
      <c r="FT87" s="18"/>
      <c r="FU87" s="18"/>
      <c r="FV87" s="18"/>
      <c r="FW87" s="18"/>
      <c r="FX87" s="18"/>
      <c r="FY87" s="18"/>
      <c r="FZ87" s="18"/>
      <c r="GA87" s="18"/>
      <c r="GB87" s="22">
        <v>0</v>
      </c>
      <c r="GC87" s="22">
        <v>9</v>
      </c>
      <c r="GD87" s="22">
        <v>0</v>
      </c>
      <c r="GE87" s="18"/>
      <c r="GF87" s="18">
        <f t="shared" si="59"/>
        <v>0.94288096727121118</v>
      </c>
      <c r="GG87" s="17">
        <f t="shared" si="62"/>
        <v>4523</v>
      </c>
      <c r="GH87" s="17">
        <f t="shared" si="60"/>
        <v>1</v>
      </c>
      <c r="GI87" s="17">
        <f t="shared" si="45"/>
        <v>0</v>
      </c>
    </row>
    <row r="88" spans="1:193" ht="18" customHeight="1" x14ac:dyDescent="0.45">
      <c r="A88" s="14">
        <v>86</v>
      </c>
      <c r="B88" s="35">
        <v>2190014392</v>
      </c>
      <c r="C88" s="15" t="s">
        <v>255</v>
      </c>
      <c r="D88" s="16">
        <v>1</v>
      </c>
      <c r="E88" s="17">
        <v>1974</v>
      </c>
      <c r="F88" s="17">
        <f t="shared" si="46"/>
        <v>49</v>
      </c>
      <c r="G88" s="18" t="s">
        <v>200</v>
      </c>
      <c r="H88" s="18" t="s">
        <v>234</v>
      </c>
      <c r="I88" s="17">
        <v>1</v>
      </c>
      <c r="J88" s="18">
        <f t="shared" si="47"/>
        <v>2.3039999999999998</v>
      </c>
      <c r="K88" s="17">
        <v>48</v>
      </c>
      <c r="L88" s="17">
        <v>158</v>
      </c>
      <c r="M88" s="18">
        <f t="shared" si="61"/>
        <v>19.227687870533565</v>
      </c>
      <c r="N88" s="17">
        <v>1</v>
      </c>
      <c r="O88" s="17">
        <v>1</v>
      </c>
      <c r="P88" s="17">
        <v>0</v>
      </c>
      <c r="Q88" s="17">
        <v>0</v>
      </c>
      <c r="R88" s="17">
        <v>1</v>
      </c>
      <c r="S88" s="17">
        <v>0</v>
      </c>
      <c r="T88" s="17">
        <v>0</v>
      </c>
      <c r="U88" s="17">
        <v>0</v>
      </c>
      <c r="V88" s="19" t="s">
        <v>398</v>
      </c>
      <c r="W88" s="17">
        <v>48</v>
      </c>
      <c r="X88" s="20">
        <v>15</v>
      </c>
      <c r="Y88" s="17">
        <v>1</v>
      </c>
      <c r="Z88" s="17">
        <v>14</v>
      </c>
      <c r="AA88" s="17">
        <v>110</v>
      </c>
      <c r="AB88" s="17">
        <v>150</v>
      </c>
      <c r="AC88" s="17">
        <v>80</v>
      </c>
      <c r="AD88" s="18">
        <f t="shared" si="48"/>
        <v>103.33333333333333</v>
      </c>
      <c r="AE88" s="18">
        <v>24</v>
      </c>
      <c r="AF88" s="17">
        <v>36.6</v>
      </c>
      <c r="AG88" s="17">
        <v>1</v>
      </c>
      <c r="AH88" s="17">
        <v>0</v>
      </c>
      <c r="AI88" s="17">
        <v>0</v>
      </c>
      <c r="AJ88" s="17">
        <v>13</v>
      </c>
      <c r="AK88" s="18">
        <v>9</v>
      </c>
      <c r="AL88" s="18">
        <v>4.2</v>
      </c>
      <c r="AM88" s="18">
        <v>130</v>
      </c>
      <c r="AN88" s="18">
        <v>39</v>
      </c>
      <c r="AO88" s="18">
        <v>488</v>
      </c>
      <c r="AP88" s="18">
        <v>11</v>
      </c>
      <c r="AQ88" s="18">
        <v>30</v>
      </c>
      <c r="AR88" s="18">
        <v>10</v>
      </c>
      <c r="AS88" s="21">
        <v>360</v>
      </c>
      <c r="AT88" s="18">
        <v>173</v>
      </c>
      <c r="AX88" s="17">
        <v>26</v>
      </c>
      <c r="AY88" s="18">
        <v>0.9</v>
      </c>
      <c r="BA88" s="5">
        <v>0.4</v>
      </c>
      <c r="BC88" s="21">
        <v>68</v>
      </c>
      <c r="BD88" s="17">
        <v>125</v>
      </c>
      <c r="BE88" s="21">
        <v>3.2</v>
      </c>
      <c r="BF88" s="17">
        <v>97</v>
      </c>
      <c r="BH88" s="17">
        <v>274</v>
      </c>
      <c r="BI88" s="17">
        <v>1912</v>
      </c>
      <c r="BJ88" s="17">
        <v>328</v>
      </c>
      <c r="BK88" s="18">
        <v>12.28</v>
      </c>
      <c r="BL88" s="18">
        <v>4.3</v>
      </c>
      <c r="BM88" s="18">
        <v>7.29</v>
      </c>
      <c r="BN88" s="17">
        <v>15</v>
      </c>
      <c r="BO88" s="17">
        <v>100</v>
      </c>
      <c r="BP88" s="21">
        <v>10</v>
      </c>
      <c r="BQ88" s="21">
        <v>479</v>
      </c>
      <c r="BR88" s="18">
        <f>BO88/BQ88</f>
        <v>0.20876826722338204</v>
      </c>
      <c r="BT88" s="18">
        <v>1.4</v>
      </c>
      <c r="BU88" s="20">
        <v>15</v>
      </c>
      <c r="BV88" s="22">
        <v>20.965603336987844</v>
      </c>
      <c r="BW88" s="18">
        <f t="shared" si="49"/>
        <v>1</v>
      </c>
      <c r="BX88" s="18">
        <f t="shared" si="50"/>
        <v>1</v>
      </c>
      <c r="BY88" s="18">
        <f t="shared" si="51"/>
        <v>0</v>
      </c>
      <c r="BZ88" s="18">
        <f t="shared" si="52"/>
        <v>2</v>
      </c>
      <c r="CA88" s="22">
        <v>1</v>
      </c>
      <c r="CB88" s="22">
        <v>0</v>
      </c>
      <c r="CC88" s="22">
        <v>1</v>
      </c>
      <c r="CD88" s="22">
        <v>0</v>
      </c>
      <c r="CE88" s="22">
        <v>0</v>
      </c>
      <c r="CF88" s="22">
        <f t="shared" si="53"/>
        <v>2</v>
      </c>
      <c r="CG88" s="22">
        <v>1</v>
      </c>
      <c r="CH88" s="22">
        <v>1</v>
      </c>
      <c r="CI88" s="23">
        <v>1</v>
      </c>
      <c r="CJ88" s="23">
        <v>0</v>
      </c>
      <c r="CK88" s="23">
        <v>0</v>
      </c>
      <c r="CL88" s="23">
        <v>0</v>
      </c>
      <c r="CM88" s="23">
        <v>8</v>
      </c>
      <c r="CN88" s="23" t="s">
        <v>203</v>
      </c>
      <c r="CO88" s="18">
        <v>0.625</v>
      </c>
      <c r="CP88" s="18" t="s">
        <v>235</v>
      </c>
      <c r="CQ88" s="18">
        <v>150</v>
      </c>
      <c r="CR88" s="18">
        <v>1000</v>
      </c>
      <c r="CS88" s="18" t="s">
        <v>236</v>
      </c>
      <c r="CT88" s="18" t="s">
        <v>207</v>
      </c>
      <c r="CU88" s="17">
        <v>1912</v>
      </c>
      <c r="CV88" s="18" t="s">
        <v>209</v>
      </c>
      <c r="CW88" s="17">
        <v>1900</v>
      </c>
      <c r="CX88" s="21">
        <v>1.5</v>
      </c>
      <c r="CY88" s="17">
        <v>2800</v>
      </c>
      <c r="CZ88" s="17">
        <v>2000</v>
      </c>
      <c r="DA88" s="17">
        <v>500</v>
      </c>
      <c r="DB88" s="17">
        <v>1</v>
      </c>
      <c r="DC88" s="17">
        <v>1</v>
      </c>
      <c r="DD88" s="17">
        <v>3.5</v>
      </c>
      <c r="DE88" s="17">
        <v>90</v>
      </c>
      <c r="DF88" s="17">
        <v>21</v>
      </c>
      <c r="DG88" s="21">
        <v>10.46</v>
      </c>
      <c r="DH88" s="18">
        <v>4.42</v>
      </c>
      <c r="DI88" s="18">
        <v>122</v>
      </c>
      <c r="DJ88" s="18">
        <v>37</v>
      </c>
      <c r="DK88" s="17">
        <v>340</v>
      </c>
      <c r="DL88" s="21">
        <v>15</v>
      </c>
      <c r="DM88" s="21">
        <v>30.6</v>
      </c>
      <c r="DN88" s="18"/>
      <c r="DO88" s="18"/>
      <c r="DP88" s="21">
        <v>13</v>
      </c>
      <c r="DQ88" s="18">
        <v>0.56999999999999995</v>
      </c>
      <c r="DR88" s="18">
        <v>113</v>
      </c>
      <c r="DY88" s="18">
        <v>137</v>
      </c>
      <c r="DZ88" s="18">
        <v>2.7</v>
      </c>
      <c r="EA88" s="18">
        <v>105</v>
      </c>
      <c r="EB88" s="18"/>
      <c r="EC88" s="18">
        <v>57</v>
      </c>
      <c r="ED88" s="17">
        <v>605</v>
      </c>
      <c r="EE88" s="18">
        <v>7.45</v>
      </c>
      <c r="EF88" s="18">
        <v>25</v>
      </c>
      <c r="EG88" s="18">
        <v>78</v>
      </c>
      <c r="EH88" s="18">
        <v>17</v>
      </c>
      <c r="EI88" s="18">
        <v>375</v>
      </c>
      <c r="EJ88" s="18">
        <f t="shared" si="63"/>
        <v>0.20799999999999999</v>
      </c>
      <c r="EL88" s="18"/>
      <c r="EM88" s="18">
        <v>15</v>
      </c>
      <c r="EN88" s="22">
        <v>11</v>
      </c>
      <c r="EO88" s="22">
        <v>12.886854903027482</v>
      </c>
      <c r="EP88" s="18">
        <f t="shared" si="54"/>
        <v>1</v>
      </c>
      <c r="EQ88" s="18">
        <f t="shared" si="55"/>
        <v>1</v>
      </c>
      <c r="ER88" s="18">
        <f t="shared" si="56"/>
        <v>0</v>
      </c>
      <c r="ES88" s="18">
        <f t="shared" si="57"/>
        <v>2</v>
      </c>
      <c r="ET88" s="22">
        <v>0</v>
      </c>
      <c r="EU88" s="22">
        <v>0</v>
      </c>
      <c r="EV88" s="22">
        <v>1</v>
      </c>
      <c r="EW88" s="22">
        <v>0</v>
      </c>
      <c r="EX88" s="22">
        <v>0</v>
      </c>
      <c r="EY88" s="22">
        <f t="shared" si="58"/>
        <v>1</v>
      </c>
      <c r="EZ88" s="22">
        <v>1</v>
      </c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7">
        <v>605</v>
      </c>
      <c r="FT88" s="18"/>
      <c r="FU88" s="18"/>
      <c r="FV88" s="18"/>
      <c r="FW88" s="18"/>
      <c r="FX88" s="18"/>
      <c r="FY88" s="18"/>
      <c r="FZ88" s="18"/>
      <c r="GA88" s="18"/>
      <c r="GB88" s="22">
        <v>1</v>
      </c>
      <c r="GC88" s="22">
        <v>11</v>
      </c>
      <c r="GD88" s="22">
        <v>0</v>
      </c>
      <c r="GE88" s="18"/>
      <c r="GF88" s="18">
        <f t="shared" si="59"/>
        <v>0.68357740585774063</v>
      </c>
      <c r="GG88" s="17">
        <f t="shared" si="62"/>
        <v>1307</v>
      </c>
      <c r="GH88" s="17">
        <f t="shared" si="60"/>
        <v>1</v>
      </c>
      <c r="GI88" s="17">
        <f t="shared" si="45"/>
        <v>4</v>
      </c>
    </row>
    <row r="89" spans="1:193" ht="18" customHeight="1" x14ac:dyDescent="0.45">
      <c r="A89" s="14">
        <v>87</v>
      </c>
      <c r="B89" s="35">
        <v>2210053800</v>
      </c>
      <c r="C89" s="15" t="s">
        <v>405</v>
      </c>
      <c r="D89" s="16">
        <v>1</v>
      </c>
      <c r="E89" s="17">
        <v>1966</v>
      </c>
      <c r="F89" s="17">
        <f t="shared" si="46"/>
        <v>57</v>
      </c>
      <c r="G89" s="18" t="s">
        <v>211</v>
      </c>
      <c r="H89" s="18" t="s">
        <v>379</v>
      </c>
      <c r="I89" s="17">
        <v>0</v>
      </c>
      <c r="J89" s="18">
        <f t="shared" si="47"/>
        <v>3.2160000000000002</v>
      </c>
      <c r="K89" s="17">
        <v>67</v>
      </c>
      <c r="L89" s="17">
        <v>168</v>
      </c>
      <c r="M89" s="18">
        <f t="shared" si="61"/>
        <v>23.738662131519277</v>
      </c>
      <c r="N89" s="17">
        <v>1</v>
      </c>
      <c r="O89" s="17">
        <v>1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9" t="s">
        <v>380</v>
      </c>
      <c r="W89" s="17">
        <v>24</v>
      </c>
      <c r="X89" s="20">
        <v>29</v>
      </c>
      <c r="Y89" s="17">
        <v>1</v>
      </c>
      <c r="Z89" s="17">
        <v>5</v>
      </c>
      <c r="AA89" s="17">
        <v>120</v>
      </c>
      <c r="AB89" s="17">
        <v>130</v>
      </c>
      <c r="AC89" s="17">
        <v>70</v>
      </c>
      <c r="AD89" s="18">
        <f t="shared" si="48"/>
        <v>90</v>
      </c>
      <c r="AE89" s="18">
        <v>22</v>
      </c>
      <c r="AF89" s="17">
        <v>37</v>
      </c>
      <c r="AG89" s="17">
        <v>1</v>
      </c>
      <c r="AH89" s="17">
        <v>1</v>
      </c>
      <c r="AI89" s="17">
        <v>0</v>
      </c>
      <c r="AJ89" s="17">
        <v>8</v>
      </c>
      <c r="AK89" s="18">
        <v>6.15</v>
      </c>
      <c r="AL89" s="18">
        <v>4.5</v>
      </c>
      <c r="AM89" s="18">
        <v>148</v>
      </c>
      <c r="AN89" s="18">
        <v>40</v>
      </c>
      <c r="AO89" s="18">
        <v>155</v>
      </c>
      <c r="AP89" s="18">
        <v>22</v>
      </c>
      <c r="AQ89" s="18">
        <v>45</v>
      </c>
      <c r="AR89" s="18">
        <v>10</v>
      </c>
      <c r="AS89" s="21">
        <v>674</v>
      </c>
      <c r="AT89" s="18"/>
      <c r="AX89" s="17">
        <v>40</v>
      </c>
      <c r="AY89" s="18">
        <v>5.5</v>
      </c>
      <c r="BA89" s="5">
        <v>0.32</v>
      </c>
      <c r="BB89" s="5">
        <v>0.05</v>
      </c>
      <c r="BC89" s="21">
        <v>10</v>
      </c>
      <c r="BD89" s="17">
        <v>125</v>
      </c>
      <c r="BE89" s="21">
        <v>4.5999999999999996</v>
      </c>
      <c r="BF89" s="17">
        <v>89</v>
      </c>
      <c r="BH89" s="17">
        <v>194</v>
      </c>
      <c r="BI89" s="17">
        <v>1980</v>
      </c>
      <c r="BJ89" s="17">
        <v>389</v>
      </c>
      <c r="BK89" s="18">
        <v>13</v>
      </c>
      <c r="BL89" s="18">
        <v>100</v>
      </c>
      <c r="BM89" s="18">
        <v>7.23</v>
      </c>
      <c r="BN89" s="17">
        <v>27</v>
      </c>
      <c r="BO89" s="17">
        <v>109</v>
      </c>
      <c r="BP89" s="21">
        <v>11.7</v>
      </c>
      <c r="BQ89" s="21">
        <v>525</v>
      </c>
      <c r="BR89" s="18">
        <f>BO89/BQ89</f>
        <v>0.20761904761904762</v>
      </c>
      <c r="BS89" s="10">
        <v>2.35</v>
      </c>
      <c r="BU89" s="20">
        <v>29</v>
      </c>
      <c r="BV89" s="22">
        <v>67.194605485035481</v>
      </c>
      <c r="BW89" s="18">
        <f t="shared" si="49"/>
        <v>1</v>
      </c>
      <c r="BX89" s="18">
        <f t="shared" si="50"/>
        <v>1</v>
      </c>
      <c r="BY89" s="18">
        <f t="shared" si="51"/>
        <v>1</v>
      </c>
      <c r="BZ89" s="18">
        <f t="shared" si="52"/>
        <v>3</v>
      </c>
      <c r="CA89" s="22">
        <v>1</v>
      </c>
      <c r="CB89" s="22">
        <v>1</v>
      </c>
      <c r="CC89" s="22">
        <v>1</v>
      </c>
      <c r="CD89" s="22">
        <v>0</v>
      </c>
      <c r="CE89" s="22">
        <v>0</v>
      </c>
      <c r="CF89" s="22">
        <f t="shared" si="53"/>
        <v>3</v>
      </c>
      <c r="CG89" s="22">
        <v>2</v>
      </c>
      <c r="CH89" s="22">
        <v>7</v>
      </c>
      <c r="CI89" s="23">
        <v>0</v>
      </c>
      <c r="CJ89" s="23">
        <v>0</v>
      </c>
      <c r="CK89" s="23">
        <v>1</v>
      </c>
      <c r="CL89" s="23">
        <v>0</v>
      </c>
      <c r="CM89" s="23">
        <v>6</v>
      </c>
      <c r="CN89" s="23" t="s">
        <v>203</v>
      </c>
      <c r="CO89" s="18" t="s">
        <v>381</v>
      </c>
      <c r="CP89" s="18" t="s">
        <v>205</v>
      </c>
      <c r="CQ89" s="18">
        <v>200</v>
      </c>
      <c r="CR89" s="18">
        <v>1500</v>
      </c>
      <c r="CS89" s="18" t="s">
        <v>206</v>
      </c>
      <c r="CT89" s="18" t="s">
        <v>207</v>
      </c>
      <c r="CU89" s="17">
        <f t="shared" ref="CU89:CU95" si="64">BI89</f>
        <v>1980</v>
      </c>
      <c r="CV89" s="18" t="s">
        <v>209</v>
      </c>
      <c r="CW89" s="17">
        <v>3200</v>
      </c>
      <c r="CX89" s="21">
        <v>1.5</v>
      </c>
      <c r="CY89" s="17">
        <v>4800</v>
      </c>
      <c r="DB89" s="17">
        <v>1</v>
      </c>
      <c r="DC89" s="17">
        <v>1</v>
      </c>
      <c r="DD89" s="17">
        <v>3</v>
      </c>
      <c r="DE89" s="17">
        <v>100</v>
      </c>
      <c r="DF89" s="17">
        <v>20</v>
      </c>
      <c r="DG89" s="21">
        <v>5.13</v>
      </c>
      <c r="DH89" s="18">
        <v>3.12</v>
      </c>
      <c r="DI89" s="18">
        <v>98</v>
      </c>
      <c r="DJ89" s="18">
        <v>30</v>
      </c>
      <c r="DK89" s="17">
        <v>87</v>
      </c>
      <c r="DL89" s="21">
        <v>18</v>
      </c>
      <c r="DM89" s="21">
        <v>40</v>
      </c>
      <c r="DN89" s="18"/>
      <c r="DO89" s="18">
        <v>7.7</v>
      </c>
      <c r="DP89" s="21">
        <v>21</v>
      </c>
      <c r="DQ89" s="18">
        <v>0.43</v>
      </c>
      <c r="DR89" s="18">
        <v>113</v>
      </c>
      <c r="DY89" s="18">
        <v>143</v>
      </c>
      <c r="DZ89" s="18">
        <v>4.2</v>
      </c>
      <c r="EA89" s="18">
        <v>107</v>
      </c>
      <c r="EB89" s="18"/>
      <c r="EC89" s="18"/>
      <c r="ED89" s="17">
        <v>640</v>
      </c>
      <c r="EE89" s="18">
        <v>7.4</v>
      </c>
      <c r="EF89" s="18">
        <v>31</v>
      </c>
      <c r="EG89" s="18">
        <v>104</v>
      </c>
      <c r="EH89" s="18">
        <v>22</v>
      </c>
      <c r="EI89" s="18">
        <v>297</v>
      </c>
      <c r="EJ89" s="18">
        <f t="shared" si="63"/>
        <v>0.35016835016835018</v>
      </c>
      <c r="EL89" s="18"/>
      <c r="EM89" s="18">
        <v>14</v>
      </c>
      <c r="EN89" s="22">
        <v>8</v>
      </c>
      <c r="EO89" s="22">
        <v>8.7145290593121416</v>
      </c>
      <c r="EP89" s="18">
        <f t="shared" si="54"/>
        <v>1</v>
      </c>
      <c r="EQ89" s="18">
        <f t="shared" si="55"/>
        <v>0</v>
      </c>
      <c r="ER89" s="18">
        <f t="shared" si="56"/>
        <v>0</v>
      </c>
      <c r="ES89" s="18">
        <f t="shared" si="57"/>
        <v>1</v>
      </c>
      <c r="ET89" s="22">
        <v>0</v>
      </c>
      <c r="EU89" s="22">
        <v>0</v>
      </c>
      <c r="EV89" s="22">
        <v>0</v>
      </c>
      <c r="EW89" s="22">
        <v>0</v>
      </c>
      <c r="EX89" s="22">
        <v>0</v>
      </c>
      <c r="EY89" s="22">
        <f t="shared" si="58"/>
        <v>0</v>
      </c>
      <c r="EZ89" s="22">
        <v>5</v>
      </c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7">
        <v>640</v>
      </c>
      <c r="FT89" s="18"/>
      <c r="FU89" s="18"/>
      <c r="FV89" s="18"/>
      <c r="FW89" s="18"/>
      <c r="FX89" s="18"/>
      <c r="FY89" s="18"/>
      <c r="FZ89" s="18"/>
      <c r="GA89" s="18"/>
      <c r="GB89" s="22">
        <v>5</v>
      </c>
      <c r="GC89" s="22">
        <v>8</v>
      </c>
      <c r="GD89" s="22">
        <v>0</v>
      </c>
      <c r="GE89" s="18"/>
      <c r="GF89" s="18">
        <f t="shared" si="59"/>
        <v>0.6767676767676768</v>
      </c>
      <c r="GG89" s="17">
        <f t="shared" si="62"/>
        <v>1340</v>
      </c>
      <c r="GH89" s="17">
        <f t="shared" si="60"/>
        <v>3</v>
      </c>
      <c r="GI89" s="17">
        <f t="shared" si="45"/>
        <v>21</v>
      </c>
    </row>
    <row r="90" spans="1:193" ht="18" customHeight="1" x14ac:dyDescent="0.45">
      <c r="A90" s="14">
        <v>88</v>
      </c>
      <c r="B90" s="35">
        <v>2200032307</v>
      </c>
      <c r="C90" s="15" t="s">
        <v>461</v>
      </c>
      <c r="D90" s="16">
        <v>0</v>
      </c>
      <c r="E90" s="17">
        <v>1985</v>
      </c>
      <c r="F90" s="17">
        <f t="shared" si="46"/>
        <v>38</v>
      </c>
      <c r="G90" s="18" t="s">
        <v>237</v>
      </c>
      <c r="H90" s="18" t="s">
        <v>286</v>
      </c>
      <c r="I90" s="17">
        <v>0</v>
      </c>
      <c r="J90" s="18">
        <f t="shared" si="47"/>
        <v>2.64</v>
      </c>
      <c r="K90" s="17">
        <v>55</v>
      </c>
      <c r="L90" s="17">
        <v>167</v>
      </c>
      <c r="M90" s="18">
        <f t="shared" si="61"/>
        <v>19.721036967980208</v>
      </c>
      <c r="N90" s="17">
        <v>0</v>
      </c>
      <c r="O90" s="17">
        <v>1</v>
      </c>
      <c r="P90" s="17">
        <v>0</v>
      </c>
      <c r="Q90" s="17">
        <v>0</v>
      </c>
      <c r="R90" s="17">
        <v>0</v>
      </c>
      <c r="S90" s="17">
        <v>0</v>
      </c>
      <c r="T90" s="17">
        <v>1</v>
      </c>
      <c r="U90" s="17">
        <v>1</v>
      </c>
      <c r="V90" s="19" t="s">
        <v>471</v>
      </c>
      <c r="W90" s="17">
        <v>12</v>
      </c>
      <c r="X90" s="20">
        <v>9</v>
      </c>
      <c r="Y90" s="17">
        <v>1</v>
      </c>
      <c r="Z90" s="17">
        <v>7</v>
      </c>
      <c r="AA90" s="17">
        <v>130</v>
      </c>
      <c r="AB90" s="17">
        <v>120</v>
      </c>
      <c r="AC90" s="17">
        <v>80</v>
      </c>
      <c r="AD90" s="18">
        <f t="shared" si="48"/>
        <v>93.333333333333329</v>
      </c>
      <c r="AE90" s="18">
        <v>20</v>
      </c>
      <c r="AF90" s="17">
        <v>37</v>
      </c>
      <c r="AG90" s="17">
        <v>1</v>
      </c>
      <c r="AH90" s="17">
        <v>1</v>
      </c>
      <c r="AI90" s="17">
        <v>0</v>
      </c>
      <c r="AJ90" s="17">
        <v>15</v>
      </c>
      <c r="AK90" s="18">
        <v>6.3</v>
      </c>
      <c r="AL90" s="18">
        <v>4.0999999999999996</v>
      </c>
      <c r="AM90" s="18">
        <v>138</v>
      </c>
      <c r="AN90" s="18">
        <v>39</v>
      </c>
      <c r="AO90" s="18">
        <v>128</v>
      </c>
      <c r="AP90" s="18">
        <v>12</v>
      </c>
      <c r="AQ90" s="18">
        <v>27</v>
      </c>
      <c r="AR90" s="18">
        <v>6</v>
      </c>
      <c r="AS90" s="21">
        <v>95</v>
      </c>
      <c r="AT90" s="18"/>
      <c r="AX90" s="17">
        <v>8</v>
      </c>
      <c r="AY90" s="18">
        <v>1.4</v>
      </c>
      <c r="BC90" s="21">
        <v>64</v>
      </c>
      <c r="BD90" s="17">
        <v>134</v>
      </c>
      <c r="BE90" s="21">
        <v>5.4</v>
      </c>
      <c r="BF90" s="17">
        <v>98</v>
      </c>
      <c r="BH90" s="17">
        <v>2298</v>
      </c>
      <c r="BI90" s="17">
        <v>5270</v>
      </c>
      <c r="BJ90" s="17">
        <v>410</v>
      </c>
      <c r="BK90" s="18">
        <v>9</v>
      </c>
      <c r="BL90" s="18"/>
      <c r="BM90" s="18">
        <v>7.23</v>
      </c>
      <c r="BN90" s="17">
        <v>12</v>
      </c>
      <c r="BO90" s="17">
        <v>154</v>
      </c>
      <c r="BP90" s="21">
        <v>4.5999999999999996</v>
      </c>
      <c r="BQ90" s="21">
        <f>BO90/BR90</f>
        <v>308</v>
      </c>
      <c r="BR90" s="18">
        <v>0.5</v>
      </c>
      <c r="BS90" s="10">
        <v>1.81</v>
      </c>
      <c r="BU90" s="20">
        <v>9</v>
      </c>
      <c r="BV90" s="22">
        <v>9.9481411429015392</v>
      </c>
      <c r="BW90" s="18">
        <f t="shared" si="49"/>
        <v>1</v>
      </c>
      <c r="BX90" s="18">
        <f t="shared" si="50"/>
        <v>0</v>
      </c>
      <c r="BY90" s="18">
        <f t="shared" si="51"/>
        <v>0</v>
      </c>
      <c r="BZ90" s="18">
        <f t="shared" si="52"/>
        <v>1</v>
      </c>
      <c r="CA90" s="22">
        <v>0</v>
      </c>
      <c r="CB90" s="22">
        <v>0</v>
      </c>
      <c r="CC90" s="22">
        <v>0</v>
      </c>
      <c r="CD90" s="22">
        <v>0</v>
      </c>
      <c r="CE90" s="22">
        <v>0</v>
      </c>
      <c r="CF90" s="22">
        <f t="shared" si="53"/>
        <v>0</v>
      </c>
      <c r="CG90" s="22">
        <v>1</v>
      </c>
      <c r="CH90" s="22">
        <v>3</v>
      </c>
      <c r="CI90" s="23">
        <v>0</v>
      </c>
      <c r="CJ90" s="23">
        <v>1</v>
      </c>
      <c r="CK90" s="23">
        <v>0</v>
      </c>
      <c r="CL90" s="23">
        <v>0</v>
      </c>
      <c r="CM90" s="23">
        <v>3</v>
      </c>
      <c r="CN90" s="23" t="s">
        <v>219</v>
      </c>
      <c r="CO90" s="18" t="s">
        <v>472</v>
      </c>
      <c r="CP90" s="18" t="s">
        <v>235</v>
      </c>
      <c r="CQ90" s="18">
        <v>180</v>
      </c>
      <c r="CR90" s="18">
        <v>1500</v>
      </c>
      <c r="CS90" s="18" t="s">
        <v>236</v>
      </c>
      <c r="CT90" s="18" t="s">
        <v>207</v>
      </c>
      <c r="CU90" s="17">
        <f t="shared" si="64"/>
        <v>5270</v>
      </c>
      <c r="CV90" s="18" t="s">
        <v>208</v>
      </c>
      <c r="CW90" s="17">
        <v>2400</v>
      </c>
      <c r="CX90" s="21">
        <v>1.5</v>
      </c>
      <c r="CY90" s="17">
        <v>3400</v>
      </c>
      <c r="DB90" s="17">
        <v>1</v>
      </c>
      <c r="DC90" s="17">
        <v>0</v>
      </c>
      <c r="DD90" s="17">
        <v>3</v>
      </c>
      <c r="DE90" s="17">
        <v>110</v>
      </c>
      <c r="DF90" s="17">
        <v>18</v>
      </c>
      <c r="DG90" s="21">
        <v>5</v>
      </c>
      <c r="DH90" s="18">
        <v>4.2</v>
      </c>
      <c r="DI90" s="18">
        <v>134</v>
      </c>
      <c r="DJ90" s="18">
        <v>39</v>
      </c>
      <c r="DK90" s="17">
        <v>90</v>
      </c>
      <c r="DL90" s="21">
        <v>12</v>
      </c>
      <c r="DM90" s="21">
        <v>68</v>
      </c>
      <c r="DN90" s="18"/>
      <c r="DO90" s="18">
        <v>3.3</v>
      </c>
      <c r="DP90" s="21">
        <v>5</v>
      </c>
      <c r="DQ90" s="18">
        <v>0.68</v>
      </c>
      <c r="DR90" s="18">
        <v>121</v>
      </c>
      <c r="DY90" s="18">
        <v>141</v>
      </c>
      <c r="DZ90" s="18">
        <v>3</v>
      </c>
      <c r="EA90" s="18">
        <v>96</v>
      </c>
      <c r="EB90" s="18"/>
      <c r="EC90" s="18"/>
      <c r="ED90" s="17">
        <v>662</v>
      </c>
      <c r="EE90" s="18">
        <v>7.5</v>
      </c>
      <c r="EF90" s="18">
        <v>26</v>
      </c>
      <c r="EG90" s="18">
        <v>164</v>
      </c>
      <c r="EH90" s="18">
        <v>23</v>
      </c>
      <c r="EI90" s="18">
        <v>564</v>
      </c>
      <c r="EJ90" s="18">
        <f t="shared" si="63"/>
        <v>0.29078014184397161</v>
      </c>
      <c r="EL90" s="18"/>
      <c r="EM90" s="18">
        <v>15</v>
      </c>
      <c r="EN90" s="22">
        <v>4</v>
      </c>
      <c r="EO90" s="22">
        <v>5.0546156919954752</v>
      </c>
      <c r="EP90" s="18">
        <f t="shared" si="54"/>
        <v>1</v>
      </c>
      <c r="EQ90" s="18">
        <f t="shared" si="55"/>
        <v>0</v>
      </c>
      <c r="ER90" s="18">
        <f t="shared" si="56"/>
        <v>0</v>
      </c>
      <c r="ES90" s="18">
        <f t="shared" si="57"/>
        <v>1</v>
      </c>
      <c r="ET90" s="22">
        <v>0</v>
      </c>
      <c r="EU90" s="22">
        <v>0</v>
      </c>
      <c r="EV90" s="22">
        <v>0</v>
      </c>
      <c r="EW90" s="22">
        <v>0</v>
      </c>
      <c r="EX90" s="22">
        <v>0</v>
      </c>
      <c r="EY90" s="22">
        <f t="shared" si="58"/>
        <v>0</v>
      </c>
      <c r="EZ90" s="22">
        <v>2</v>
      </c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7">
        <v>662</v>
      </c>
      <c r="FT90" s="18"/>
      <c r="FU90" s="18"/>
      <c r="FV90" s="18"/>
      <c r="FW90" s="18"/>
      <c r="FX90" s="18"/>
      <c r="FY90" s="18"/>
      <c r="FZ90" s="18"/>
      <c r="GA90" s="18"/>
      <c r="GB90" s="22">
        <v>2</v>
      </c>
      <c r="GC90" s="22">
        <v>4</v>
      </c>
      <c r="GD90" s="22">
        <v>0</v>
      </c>
      <c r="GE90" s="18"/>
      <c r="GF90" s="18">
        <f t="shared" si="59"/>
        <v>0.87438330170777989</v>
      </c>
      <c r="GG90" s="17">
        <f t="shared" si="62"/>
        <v>4608</v>
      </c>
      <c r="GH90" s="17">
        <f t="shared" si="60"/>
        <v>0</v>
      </c>
      <c r="GI90" s="17">
        <f t="shared" si="45"/>
        <v>5</v>
      </c>
    </row>
    <row r="91" spans="1:193" ht="18" customHeight="1" x14ac:dyDescent="0.45">
      <c r="A91" s="14">
        <v>89</v>
      </c>
      <c r="B91" s="35">
        <v>2190081498</v>
      </c>
      <c r="C91" s="15" t="s">
        <v>365</v>
      </c>
      <c r="D91" s="16">
        <v>0</v>
      </c>
      <c r="E91" s="17">
        <v>1980</v>
      </c>
      <c r="F91" s="17">
        <f t="shared" si="46"/>
        <v>43</v>
      </c>
      <c r="G91" s="18" t="s">
        <v>200</v>
      </c>
      <c r="H91" s="18" t="s">
        <v>212</v>
      </c>
      <c r="I91" s="17">
        <v>0</v>
      </c>
      <c r="J91" s="18">
        <f t="shared" si="47"/>
        <v>3.12</v>
      </c>
      <c r="K91" s="17">
        <v>65</v>
      </c>
      <c r="L91" s="17">
        <v>172</v>
      </c>
      <c r="M91" s="18">
        <f t="shared" si="61"/>
        <v>21.971335857220122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9" t="s">
        <v>487</v>
      </c>
      <c r="W91" s="17">
        <v>24</v>
      </c>
      <c r="X91" s="20">
        <v>21</v>
      </c>
      <c r="Y91" s="17">
        <v>1</v>
      </c>
      <c r="Z91" s="17">
        <v>7</v>
      </c>
      <c r="AA91" s="17">
        <v>120</v>
      </c>
      <c r="AB91" s="17">
        <v>100</v>
      </c>
      <c r="AC91" s="17">
        <v>60</v>
      </c>
      <c r="AD91" s="18">
        <f t="shared" si="48"/>
        <v>73.333333333333329</v>
      </c>
      <c r="AE91" s="18">
        <v>25</v>
      </c>
      <c r="AF91" s="17">
        <v>37</v>
      </c>
      <c r="AG91" s="17">
        <v>1</v>
      </c>
      <c r="AH91" s="17">
        <v>1</v>
      </c>
      <c r="AI91" s="17">
        <v>0</v>
      </c>
      <c r="AJ91" s="17">
        <v>13</v>
      </c>
      <c r="AK91" s="18">
        <v>8.5</v>
      </c>
      <c r="AL91" s="18">
        <v>5.8</v>
      </c>
      <c r="AM91" s="18">
        <v>198</v>
      </c>
      <c r="AN91" s="18">
        <v>58</v>
      </c>
      <c r="AO91" s="18">
        <v>154</v>
      </c>
      <c r="AP91" s="18">
        <v>16</v>
      </c>
      <c r="AQ91" s="18">
        <v>45</v>
      </c>
      <c r="AR91" s="18">
        <v>3.2</v>
      </c>
      <c r="AT91" s="18"/>
      <c r="AX91" s="17">
        <v>24</v>
      </c>
      <c r="AY91" s="18">
        <v>2.6</v>
      </c>
      <c r="BA91" s="5">
        <v>1.1000000000000001</v>
      </c>
      <c r="BB91" s="5">
        <v>0.3</v>
      </c>
      <c r="BC91" s="21">
        <v>29</v>
      </c>
      <c r="BD91" s="17">
        <v>123</v>
      </c>
      <c r="BE91" s="21">
        <v>4.5999999999999996</v>
      </c>
      <c r="BF91" s="17">
        <v>98</v>
      </c>
      <c r="BI91" s="17">
        <v>4200</v>
      </c>
      <c r="BJ91" s="17">
        <v>120</v>
      </c>
      <c r="BK91" s="18"/>
      <c r="BL91" s="18"/>
      <c r="BM91" s="18">
        <v>7.33</v>
      </c>
      <c r="BN91" s="17">
        <v>24</v>
      </c>
      <c r="BO91" s="17">
        <v>133</v>
      </c>
      <c r="BP91" s="21">
        <v>14</v>
      </c>
      <c r="BQ91" s="21">
        <f>BO91/BR91</f>
        <v>225.42372881355934</v>
      </c>
      <c r="BR91" s="18">
        <v>0.59</v>
      </c>
      <c r="BU91" s="20">
        <v>21</v>
      </c>
      <c r="BV91" s="22">
        <v>38.912303341323486</v>
      </c>
      <c r="BW91" s="18">
        <f t="shared" si="49"/>
        <v>1</v>
      </c>
      <c r="BX91" s="18">
        <f t="shared" si="50"/>
        <v>1</v>
      </c>
      <c r="BY91" s="18">
        <f t="shared" si="51"/>
        <v>0</v>
      </c>
      <c r="BZ91" s="18">
        <f t="shared" si="52"/>
        <v>2</v>
      </c>
      <c r="CA91" s="22">
        <v>0</v>
      </c>
      <c r="CB91" s="22">
        <v>0</v>
      </c>
      <c r="CC91" s="22">
        <v>1</v>
      </c>
      <c r="CD91" s="22">
        <v>0</v>
      </c>
      <c r="CE91" s="22">
        <v>1</v>
      </c>
      <c r="CF91" s="22">
        <f t="shared" si="53"/>
        <v>2</v>
      </c>
      <c r="CG91" s="22">
        <v>0</v>
      </c>
      <c r="CH91" s="22">
        <v>5</v>
      </c>
      <c r="CI91" s="23">
        <v>1</v>
      </c>
      <c r="CJ91" s="23">
        <v>0</v>
      </c>
      <c r="CK91" s="23">
        <v>0</v>
      </c>
      <c r="CL91" s="23">
        <v>0</v>
      </c>
      <c r="CM91" s="23">
        <v>10</v>
      </c>
      <c r="CN91" s="23" t="s">
        <v>203</v>
      </c>
      <c r="CO91" s="18" t="s">
        <v>488</v>
      </c>
      <c r="CP91" s="18" t="s">
        <v>205</v>
      </c>
      <c r="CQ91" s="18">
        <v>200</v>
      </c>
      <c r="CR91" s="18">
        <v>1500</v>
      </c>
      <c r="CS91" s="18" t="s">
        <v>206</v>
      </c>
      <c r="CT91" s="18" t="s">
        <v>207</v>
      </c>
      <c r="CU91" s="17">
        <f t="shared" si="64"/>
        <v>4200</v>
      </c>
      <c r="CV91" s="18" t="s">
        <v>208</v>
      </c>
      <c r="CW91" s="17">
        <v>2600</v>
      </c>
      <c r="CX91" s="21">
        <v>1</v>
      </c>
      <c r="CY91" s="17">
        <v>2600</v>
      </c>
      <c r="DB91" s="17">
        <v>1</v>
      </c>
      <c r="DC91" s="17">
        <v>2</v>
      </c>
      <c r="DD91" s="17">
        <v>3</v>
      </c>
      <c r="DE91" s="17">
        <v>110</v>
      </c>
      <c r="DF91" s="17">
        <v>21</v>
      </c>
      <c r="DG91" s="21">
        <v>7.8</v>
      </c>
      <c r="DH91" s="18">
        <v>2.9</v>
      </c>
      <c r="DI91" s="18">
        <v>95</v>
      </c>
      <c r="DJ91" s="18">
        <v>29</v>
      </c>
      <c r="DK91" s="17">
        <v>80</v>
      </c>
      <c r="DL91" s="21">
        <v>15</v>
      </c>
      <c r="DM91" s="21">
        <v>42</v>
      </c>
      <c r="DN91" s="18">
        <v>85</v>
      </c>
      <c r="DO91" s="18">
        <v>3.4</v>
      </c>
      <c r="DP91" s="21">
        <v>38</v>
      </c>
      <c r="DQ91" s="18">
        <v>2.98</v>
      </c>
      <c r="DR91" s="18">
        <v>25</v>
      </c>
      <c r="DY91" s="18">
        <v>134</v>
      </c>
      <c r="DZ91" s="18">
        <v>5.7</v>
      </c>
      <c r="EA91" s="18">
        <v>102</v>
      </c>
      <c r="EB91" s="18">
        <v>243</v>
      </c>
      <c r="EC91" s="18">
        <v>311</v>
      </c>
      <c r="ED91" s="17">
        <v>406</v>
      </c>
      <c r="EE91" s="18">
        <v>7.4</v>
      </c>
      <c r="EF91" s="18">
        <v>28</v>
      </c>
      <c r="EG91" s="18">
        <v>88</v>
      </c>
      <c r="EH91" s="18">
        <v>19</v>
      </c>
      <c r="EI91" s="18">
        <f>EG91/0.21</f>
        <v>419.04761904761904</v>
      </c>
      <c r="EJ91" s="18">
        <f t="shared" si="63"/>
        <v>0.21</v>
      </c>
      <c r="EL91" s="18"/>
      <c r="EM91" s="18">
        <v>14</v>
      </c>
      <c r="EN91" s="22">
        <v>15</v>
      </c>
      <c r="EO91" s="22">
        <v>20.965603336987844</v>
      </c>
      <c r="EP91" s="18">
        <f t="shared" si="54"/>
        <v>1</v>
      </c>
      <c r="EQ91" s="18">
        <f t="shared" si="55"/>
        <v>1</v>
      </c>
      <c r="ER91" s="18">
        <f t="shared" si="56"/>
        <v>1</v>
      </c>
      <c r="ES91" s="18">
        <f t="shared" si="57"/>
        <v>3</v>
      </c>
      <c r="ET91" s="22">
        <v>1</v>
      </c>
      <c r="EU91" s="22">
        <v>0</v>
      </c>
      <c r="EV91" s="22">
        <v>0</v>
      </c>
      <c r="EW91" s="22">
        <v>0</v>
      </c>
      <c r="EX91" s="22">
        <v>1</v>
      </c>
      <c r="EY91" s="22">
        <f t="shared" si="58"/>
        <v>2</v>
      </c>
      <c r="EZ91" s="22">
        <v>3</v>
      </c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7">
        <v>406</v>
      </c>
      <c r="FT91" s="18"/>
      <c r="FU91" s="18"/>
      <c r="FV91" s="18"/>
      <c r="FW91" s="18"/>
      <c r="FX91" s="18"/>
      <c r="FY91" s="18"/>
      <c r="FZ91" s="18"/>
      <c r="GA91" s="18"/>
      <c r="GB91" s="22">
        <v>3</v>
      </c>
      <c r="GC91" s="22">
        <v>15</v>
      </c>
      <c r="GD91" s="22">
        <v>0</v>
      </c>
      <c r="GE91" s="18"/>
      <c r="GF91" s="18">
        <f t="shared" si="59"/>
        <v>0.90333333333333332</v>
      </c>
      <c r="GG91" s="17">
        <f t="shared" si="62"/>
        <v>3794</v>
      </c>
      <c r="GH91" s="17">
        <f t="shared" si="60"/>
        <v>0</v>
      </c>
      <c r="GI91" s="17">
        <f t="shared" si="45"/>
        <v>6</v>
      </c>
    </row>
    <row r="92" spans="1:193" ht="18" customHeight="1" x14ac:dyDescent="0.45">
      <c r="A92" s="14">
        <v>90</v>
      </c>
      <c r="B92" s="35" t="s">
        <v>11</v>
      </c>
      <c r="C92" s="15" t="s">
        <v>12</v>
      </c>
      <c r="D92" s="16">
        <v>0</v>
      </c>
      <c r="E92" s="17">
        <v>1984</v>
      </c>
      <c r="F92" s="17">
        <f t="shared" si="46"/>
        <v>39</v>
      </c>
      <c r="G92" s="18" t="s">
        <v>237</v>
      </c>
      <c r="H92" s="18" t="s">
        <v>201</v>
      </c>
      <c r="I92" s="17">
        <v>0</v>
      </c>
      <c r="J92" s="18">
        <f t="shared" si="47"/>
        <v>2.0640000000000001</v>
      </c>
      <c r="K92" s="17">
        <v>43</v>
      </c>
      <c r="L92" s="17">
        <v>172</v>
      </c>
      <c r="M92" s="18">
        <f t="shared" si="61"/>
        <v>14.534883720930234</v>
      </c>
      <c r="N92" s="17">
        <v>0</v>
      </c>
      <c r="O92" s="17">
        <v>0</v>
      </c>
      <c r="P92" s="17">
        <v>1</v>
      </c>
      <c r="Q92" s="17">
        <v>0</v>
      </c>
      <c r="R92" s="17">
        <v>0</v>
      </c>
      <c r="S92" s="17">
        <v>0</v>
      </c>
      <c r="T92" s="17">
        <v>1</v>
      </c>
      <c r="U92" s="17">
        <v>4</v>
      </c>
      <c r="V92" s="19" t="s">
        <v>298</v>
      </c>
      <c r="W92" s="17">
        <v>72</v>
      </c>
      <c r="X92" s="20">
        <v>38</v>
      </c>
      <c r="Y92" s="17">
        <v>1</v>
      </c>
      <c r="Z92" s="17">
        <v>7</v>
      </c>
      <c r="AA92" s="17">
        <v>146</v>
      </c>
      <c r="AB92" s="17">
        <v>90</v>
      </c>
      <c r="AC92" s="17">
        <v>50</v>
      </c>
      <c r="AD92" s="18">
        <f t="shared" si="48"/>
        <v>63.333333333333329</v>
      </c>
      <c r="AE92" s="18">
        <v>42</v>
      </c>
      <c r="AF92" s="17">
        <v>37.5</v>
      </c>
      <c r="AG92" s="17">
        <v>1</v>
      </c>
      <c r="AH92" s="17">
        <v>1</v>
      </c>
      <c r="AI92" s="17">
        <v>1</v>
      </c>
      <c r="AJ92" s="17">
        <v>8</v>
      </c>
      <c r="AK92" s="18">
        <v>13.6</v>
      </c>
      <c r="AL92" s="18">
        <v>5.54</v>
      </c>
      <c r="AM92" s="18">
        <v>176</v>
      </c>
      <c r="AN92" s="18">
        <v>53.4</v>
      </c>
      <c r="AO92" s="18">
        <v>134</v>
      </c>
      <c r="AP92" s="18">
        <v>18.600000000000001</v>
      </c>
      <c r="AQ92" s="18">
        <v>46</v>
      </c>
      <c r="AR92" s="18">
        <v>5.53</v>
      </c>
      <c r="AS92" s="21">
        <v>138.5</v>
      </c>
      <c r="AT92" s="18"/>
      <c r="AV92" s="10">
        <v>86</v>
      </c>
      <c r="AW92" s="10">
        <v>2.3199999999999998</v>
      </c>
      <c r="AX92" s="17">
        <v>32</v>
      </c>
      <c r="AY92" s="18">
        <v>3.89</v>
      </c>
      <c r="BC92" s="21">
        <v>18.79</v>
      </c>
      <c r="BD92" s="17">
        <v>140</v>
      </c>
      <c r="BE92" s="21">
        <v>2.8</v>
      </c>
      <c r="BF92" s="17">
        <v>108</v>
      </c>
      <c r="BG92" s="17">
        <v>319</v>
      </c>
      <c r="BH92" s="17">
        <v>324</v>
      </c>
      <c r="BI92" s="17">
        <v>1894</v>
      </c>
      <c r="BJ92" s="17">
        <v>120</v>
      </c>
      <c r="BK92" s="18"/>
      <c r="BL92" s="18"/>
      <c r="BM92" s="18">
        <v>7.1740000000000004</v>
      </c>
      <c r="BN92" s="17">
        <v>30.1</v>
      </c>
      <c r="BO92" s="17">
        <v>80.5</v>
      </c>
      <c r="BP92" s="21">
        <v>11.2</v>
      </c>
      <c r="BQ92" s="21">
        <v>80.5</v>
      </c>
      <c r="BR92" s="18">
        <v>1</v>
      </c>
      <c r="BT92" s="18">
        <v>1.1599999999999999</v>
      </c>
      <c r="BU92" s="20">
        <v>38</v>
      </c>
      <c r="BV92" s="22">
        <v>88.401365082782789</v>
      </c>
      <c r="BW92" s="18">
        <f t="shared" si="49"/>
        <v>1</v>
      </c>
      <c r="BX92" s="18">
        <f t="shared" si="50"/>
        <v>1</v>
      </c>
      <c r="BY92" s="18">
        <f t="shared" si="51"/>
        <v>1</v>
      </c>
      <c r="BZ92" s="18">
        <f t="shared" si="52"/>
        <v>3</v>
      </c>
      <c r="CA92" s="22">
        <v>1</v>
      </c>
      <c r="CB92" s="22">
        <v>1</v>
      </c>
      <c r="CC92" s="22">
        <v>1</v>
      </c>
      <c r="CD92" s="22">
        <v>0</v>
      </c>
      <c r="CE92" s="22">
        <v>1</v>
      </c>
      <c r="CF92" s="22">
        <f t="shared" si="53"/>
        <v>4</v>
      </c>
      <c r="CG92" s="22">
        <v>0</v>
      </c>
      <c r="CH92" s="22">
        <v>12</v>
      </c>
      <c r="CI92" s="23">
        <v>1</v>
      </c>
      <c r="CJ92" s="23">
        <v>0</v>
      </c>
      <c r="CK92" s="23">
        <v>0</v>
      </c>
      <c r="CL92" s="23">
        <v>0</v>
      </c>
      <c r="CM92" s="23">
        <v>10</v>
      </c>
      <c r="CN92" s="23" t="s">
        <v>203</v>
      </c>
      <c r="CO92" s="18" t="s">
        <v>299</v>
      </c>
      <c r="CP92" s="18" t="s">
        <v>205</v>
      </c>
      <c r="CQ92" s="18">
        <v>200</v>
      </c>
      <c r="CR92" s="18">
        <v>1500</v>
      </c>
      <c r="CS92" s="18" t="s">
        <v>206</v>
      </c>
      <c r="CT92" s="18" t="s">
        <v>207</v>
      </c>
      <c r="CU92" s="17">
        <f t="shared" si="64"/>
        <v>1894</v>
      </c>
      <c r="CV92" s="18" t="s">
        <v>209</v>
      </c>
      <c r="CW92" s="17">
        <v>2250</v>
      </c>
      <c r="CX92" s="21">
        <v>1.5</v>
      </c>
      <c r="CY92" s="17">
        <v>3370</v>
      </c>
      <c r="DB92" s="17">
        <v>1</v>
      </c>
      <c r="DC92" s="17">
        <v>2</v>
      </c>
      <c r="DD92" s="17">
        <v>3</v>
      </c>
      <c r="DE92" s="17">
        <v>126</v>
      </c>
      <c r="DF92" s="17">
        <v>39</v>
      </c>
      <c r="DG92" s="21">
        <v>9.25</v>
      </c>
      <c r="DH92" s="18">
        <v>4.08</v>
      </c>
      <c r="DI92" s="18">
        <v>128</v>
      </c>
      <c r="DJ92" s="18">
        <v>37.5</v>
      </c>
      <c r="DK92" s="17">
        <v>69</v>
      </c>
      <c r="DL92" s="21">
        <v>21.7</v>
      </c>
      <c r="DM92" s="21">
        <v>49.5</v>
      </c>
      <c r="DN92" s="18">
        <v>258</v>
      </c>
      <c r="DO92" s="18">
        <v>4.13</v>
      </c>
      <c r="DP92" s="21">
        <v>10</v>
      </c>
      <c r="DQ92" s="18">
        <v>1.59</v>
      </c>
      <c r="DR92" s="18">
        <v>55.42</v>
      </c>
      <c r="DU92" s="10">
        <v>18</v>
      </c>
      <c r="DV92" s="10">
        <v>9</v>
      </c>
      <c r="DY92" s="18">
        <v>136</v>
      </c>
      <c r="DZ92" s="18">
        <v>3</v>
      </c>
      <c r="EA92" s="18">
        <v>104</v>
      </c>
      <c r="EB92" s="18"/>
      <c r="EC92" s="18"/>
      <c r="ED92" s="17">
        <v>611</v>
      </c>
      <c r="EE92" s="18">
        <v>7.3170000000000002</v>
      </c>
      <c r="EF92" s="18">
        <v>35.1</v>
      </c>
      <c r="EG92" s="18">
        <v>90.1</v>
      </c>
      <c r="EH92" s="18">
        <v>18.100000000000001</v>
      </c>
      <c r="EI92" s="18">
        <v>150</v>
      </c>
      <c r="EJ92" s="18">
        <f t="shared" si="63"/>
        <v>0.60066666666666668</v>
      </c>
      <c r="EK92" s="10">
        <v>2.11</v>
      </c>
      <c r="EL92" s="5">
        <v>1.42</v>
      </c>
      <c r="EM92" s="18">
        <v>12</v>
      </c>
      <c r="EN92" s="22">
        <v>20</v>
      </c>
      <c r="EO92" s="22">
        <v>35.50303460262775</v>
      </c>
      <c r="EP92" s="18">
        <f t="shared" si="54"/>
        <v>1</v>
      </c>
      <c r="EQ92" s="18">
        <f t="shared" si="55"/>
        <v>1</v>
      </c>
      <c r="ER92" s="18">
        <f t="shared" si="56"/>
        <v>0</v>
      </c>
      <c r="ES92" s="18">
        <f t="shared" si="57"/>
        <v>2</v>
      </c>
      <c r="ET92" s="22">
        <v>0</v>
      </c>
      <c r="EU92" s="22">
        <v>1</v>
      </c>
      <c r="EV92" s="22">
        <v>0</v>
      </c>
      <c r="EW92" s="22">
        <v>0</v>
      </c>
      <c r="EX92" s="22">
        <v>1</v>
      </c>
      <c r="EY92" s="22">
        <f t="shared" si="58"/>
        <v>2</v>
      </c>
      <c r="EZ92" s="22">
        <v>10</v>
      </c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7">
        <v>611</v>
      </c>
      <c r="FT92" s="18"/>
      <c r="FU92" s="18"/>
      <c r="FV92" s="18"/>
      <c r="FW92" s="18"/>
      <c r="FX92" s="18"/>
      <c r="FY92" s="18"/>
      <c r="FZ92" s="18"/>
      <c r="GA92" s="18"/>
      <c r="GB92" s="22">
        <v>10</v>
      </c>
      <c r="GC92" s="22">
        <v>20</v>
      </c>
      <c r="GD92" s="22">
        <v>0</v>
      </c>
      <c r="GE92" s="18"/>
      <c r="GF92" s="18">
        <f t="shared" si="59"/>
        <v>0.67740232312565996</v>
      </c>
      <c r="GG92" s="17">
        <f t="shared" si="62"/>
        <v>1283</v>
      </c>
      <c r="GH92" s="17">
        <f t="shared" si="60"/>
        <v>2</v>
      </c>
      <c r="GI92" s="17">
        <f t="shared" si="45"/>
        <v>18</v>
      </c>
    </row>
    <row r="93" spans="1:193" ht="18" customHeight="1" x14ac:dyDescent="0.45">
      <c r="A93" s="14">
        <v>91</v>
      </c>
      <c r="B93" s="35" t="s">
        <v>21</v>
      </c>
      <c r="C93" s="15" t="s">
        <v>22</v>
      </c>
      <c r="D93" s="16">
        <v>0</v>
      </c>
      <c r="E93" s="17">
        <v>1971</v>
      </c>
      <c r="F93" s="17">
        <f t="shared" si="46"/>
        <v>52</v>
      </c>
      <c r="G93" s="18" t="s">
        <v>211</v>
      </c>
      <c r="H93" s="18" t="s">
        <v>278</v>
      </c>
      <c r="I93" s="17">
        <v>0</v>
      </c>
      <c r="J93" s="18">
        <f t="shared" si="47"/>
        <v>3.0720000000000001</v>
      </c>
      <c r="K93" s="17">
        <v>64</v>
      </c>
      <c r="L93" s="17">
        <v>170</v>
      </c>
      <c r="M93" s="18">
        <f t="shared" si="61"/>
        <v>22.145328719723185</v>
      </c>
      <c r="N93" s="17">
        <v>1</v>
      </c>
      <c r="O93" s="17">
        <v>1</v>
      </c>
      <c r="P93" s="17">
        <v>1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9" t="s">
        <v>279</v>
      </c>
      <c r="W93" s="17">
        <v>12</v>
      </c>
      <c r="X93" s="20">
        <v>26</v>
      </c>
      <c r="Y93" s="17">
        <v>1</v>
      </c>
      <c r="Z93" s="17">
        <v>5</v>
      </c>
      <c r="AA93" s="17">
        <v>114</v>
      </c>
      <c r="AB93" s="17">
        <v>90</v>
      </c>
      <c r="AC93" s="17">
        <v>60</v>
      </c>
      <c r="AD93" s="18">
        <f t="shared" si="48"/>
        <v>70</v>
      </c>
      <c r="AE93" s="18">
        <v>24</v>
      </c>
      <c r="AF93" s="17">
        <v>37</v>
      </c>
      <c r="AG93" s="17">
        <v>1</v>
      </c>
      <c r="AH93" s="17">
        <v>1</v>
      </c>
      <c r="AI93" s="17">
        <v>0</v>
      </c>
      <c r="AJ93" s="17">
        <v>7</v>
      </c>
      <c r="AK93" s="18">
        <v>16</v>
      </c>
      <c r="AL93" s="18">
        <v>3.8</v>
      </c>
      <c r="AM93" s="18">
        <v>122</v>
      </c>
      <c r="AN93" s="18">
        <v>37</v>
      </c>
      <c r="AO93" s="18">
        <v>142</v>
      </c>
      <c r="AP93" s="18">
        <v>14</v>
      </c>
      <c r="AQ93" s="18">
        <v>42</v>
      </c>
      <c r="AR93" s="18">
        <v>4.7</v>
      </c>
      <c r="AT93" s="18"/>
      <c r="AU93" s="10">
        <v>409</v>
      </c>
      <c r="AV93" s="10">
        <v>24</v>
      </c>
      <c r="AW93" s="10">
        <v>8</v>
      </c>
      <c r="AX93" s="17">
        <v>32</v>
      </c>
      <c r="AY93" s="18">
        <v>1.9</v>
      </c>
      <c r="AZ93" s="10">
        <v>44.3</v>
      </c>
      <c r="BA93" s="5">
        <v>0.49</v>
      </c>
      <c r="BB93" s="5">
        <v>0.2</v>
      </c>
      <c r="BC93" s="21">
        <v>38</v>
      </c>
      <c r="BD93" s="17">
        <v>125</v>
      </c>
      <c r="BE93" s="21">
        <v>5.7</v>
      </c>
      <c r="BF93" s="17">
        <v>100</v>
      </c>
      <c r="BG93" s="17">
        <v>178</v>
      </c>
      <c r="BH93" s="17">
        <v>475</v>
      </c>
      <c r="BI93" s="17">
        <v>3840</v>
      </c>
      <c r="BJ93" s="17">
        <v>131</v>
      </c>
      <c r="BK93" s="18"/>
      <c r="BL93" s="18"/>
      <c r="BM93" s="18">
        <v>7.08</v>
      </c>
      <c r="BN93" s="17">
        <v>32</v>
      </c>
      <c r="BO93" s="17">
        <v>79</v>
      </c>
      <c r="BP93" s="21">
        <v>10</v>
      </c>
      <c r="BQ93" s="21">
        <v>400</v>
      </c>
      <c r="BR93" s="18"/>
      <c r="BS93" s="10">
        <v>2.35</v>
      </c>
      <c r="BT93" s="18">
        <v>1.35</v>
      </c>
      <c r="BU93" s="20">
        <v>26</v>
      </c>
      <c r="BV93" s="22">
        <v>56.93010435855571</v>
      </c>
      <c r="BW93" s="18">
        <f t="shared" si="49"/>
        <v>1</v>
      </c>
      <c r="BX93" s="18">
        <f t="shared" si="50"/>
        <v>1</v>
      </c>
      <c r="BY93" s="18">
        <f t="shared" si="51"/>
        <v>1</v>
      </c>
      <c r="BZ93" s="18">
        <f t="shared" si="52"/>
        <v>3</v>
      </c>
      <c r="CA93" s="22">
        <v>1</v>
      </c>
      <c r="CB93" s="22">
        <v>1</v>
      </c>
      <c r="CC93" s="22">
        <v>1</v>
      </c>
      <c r="CD93" s="22">
        <v>0</v>
      </c>
      <c r="CE93" s="22">
        <v>1</v>
      </c>
      <c r="CF93" s="22">
        <f t="shared" si="53"/>
        <v>4</v>
      </c>
      <c r="CG93" s="22">
        <v>1</v>
      </c>
      <c r="CH93" s="22">
        <v>5</v>
      </c>
      <c r="CI93" s="23">
        <v>0</v>
      </c>
      <c r="CJ93" s="23">
        <v>0</v>
      </c>
      <c r="CK93" s="23">
        <v>1</v>
      </c>
      <c r="CL93" s="23">
        <v>0</v>
      </c>
      <c r="CM93" s="23">
        <v>6</v>
      </c>
      <c r="CN93" s="23" t="s">
        <v>203</v>
      </c>
      <c r="CO93" s="18" t="s">
        <v>280</v>
      </c>
      <c r="CP93" s="18" t="s">
        <v>205</v>
      </c>
      <c r="CQ93" s="18">
        <v>200</v>
      </c>
      <c r="CR93" s="18">
        <v>1500</v>
      </c>
      <c r="CS93" s="18" t="s">
        <v>206</v>
      </c>
      <c r="CT93" s="18" t="s">
        <v>207</v>
      </c>
      <c r="CU93" s="17">
        <f t="shared" si="64"/>
        <v>3840</v>
      </c>
      <c r="CV93" s="18" t="s">
        <v>208</v>
      </c>
      <c r="CW93" s="17">
        <v>3000</v>
      </c>
      <c r="CX93" s="21">
        <v>1.5</v>
      </c>
      <c r="CY93" s="17">
        <v>4500</v>
      </c>
      <c r="DB93" s="17">
        <v>2</v>
      </c>
      <c r="DC93" s="17">
        <v>1</v>
      </c>
      <c r="DD93" s="17">
        <v>5</v>
      </c>
      <c r="DE93" s="17">
        <v>94</v>
      </c>
      <c r="DF93" s="17">
        <v>21</v>
      </c>
      <c r="DG93" s="21">
        <v>16</v>
      </c>
      <c r="DH93" s="18">
        <v>2.8</v>
      </c>
      <c r="DI93" s="18">
        <v>85</v>
      </c>
      <c r="DJ93" s="18">
        <v>25</v>
      </c>
      <c r="DK93" s="17">
        <v>64</v>
      </c>
      <c r="DL93" s="21">
        <v>10</v>
      </c>
      <c r="DM93" s="21">
        <v>31</v>
      </c>
      <c r="DN93" s="18"/>
      <c r="DO93" s="18">
        <v>2.6</v>
      </c>
      <c r="DP93" s="21">
        <v>13</v>
      </c>
      <c r="DQ93" s="18">
        <v>0.6</v>
      </c>
      <c r="DR93" s="18">
        <v>114</v>
      </c>
      <c r="DU93" s="10">
        <v>33</v>
      </c>
      <c r="DV93" s="10">
        <v>37</v>
      </c>
      <c r="DW93" s="10">
        <v>1.28</v>
      </c>
      <c r="DX93" s="10">
        <v>0.47</v>
      </c>
      <c r="DY93" s="18">
        <v>134</v>
      </c>
      <c r="DZ93" s="18">
        <v>3.3</v>
      </c>
      <c r="EA93" s="18">
        <v>103</v>
      </c>
      <c r="EB93" s="18">
        <v>52</v>
      </c>
      <c r="EC93" s="18">
        <v>133</v>
      </c>
      <c r="ED93" s="17">
        <v>136</v>
      </c>
      <c r="EE93" s="18">
        <v>7.4</v>
      </c>
      <c r="EF93" s="18">
        <v>36</v>
      </c>
      <c r="EG93" s="18">
        <v>108</v>
      </c>
      <c r="EH93" s="18">
        <v>27</v>
      </c>
      <c r="EI93" s="18">
        <f>EG93/0.21</f>
        <v>514.28571428571433</v>
      </c>
      <c r="EJ93" s="18">
        <v>0.3</v>
      </c>
      <c r="EK93" s="10">
        <v>2.2400000000000002</v>
      </c>
      <c r="EL93" s="5">
        <v>0.876</v>
      </c>
      <c r="EM93" s="18">
        <v>15</v>
      </c>
      <c r="EN93" s="22">
        <v>8</v>
      </c>
      <c r="EO93" s="22">
        <v>8.7145290593121416</v>
      </c>
      <c r="EP93" s="18">
        <f t="shared" si="54"/>
        <v>1</v>
      </c>
      <c r="EQ93" s="18">
        <f t="shared" si="55"/>
        <v>1</v>
      </c>
      <c r="ER93" s="18">
        <f t="shared" si="56"/>
        <v>0</v>
      </c>
      <c r="ES93" s="18">
        <f t="shared" si="57"/>
        <v>2</v>
      </c>
      <c r="ET93" s="22">
        <v>0</v>
      </c>
      <c r="EU93" s="22">
        <v>0</v>
      </c>
      <c r="EV93" s="22">
        <v>1</v>
      </c>
      <c r="EW93" s="22">
        <v>0</v>
      </c>
      <c r="EX93" s="22">
        <v>1</v>
      </c>
      <c r="EY93" s="22">
        <f t="shared" si="58"/>
        <v>2</v>
      </c>
      <c r="EZ93" s="22">
        <v>3</v>
      </c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7">
        <v>136</v>
      </c>
      <c r="FT93" s="18"/>
      <c r="FU93" s="18"/>
      <c r="FV93" s="18"/>
      <c r="FW93" s="18"/>
      <c r="FX93" s="18"/>
      <c r="FY93" s="18"/>
      <c r="FZ93" s="18"/>
      <c r="GA93" s="18"/>
      <c r="GB93" s="22">
        <v>3</v>
      </c>
      <c r="GC93" s="22">
        <v>8</v>
      </c>
      <c r="GD93" s="22">
        <v>0</v>
      </c>
      <c r="GE93" s="18"/>
      <c r="GF93" s="18">
        <f t="shared" si="59"/>
        <v>0.96458333333333335</v>
      </c>
      <c r="GG93" s="17">
        <f t="shared" si="62"/>
        <v>3704</v>
      </c>
      <c r="GH93" s="17">
        <f t="shared" si="60"/>
        <v>2</v>
      </c>
      <c r="GI93" s="17">
        <f t="shared" si="45"/>
        <v>18</v>
      </c>
    </row>
    <row r="94" spans="1:193" ht="18" customHeight="1" x14ac:dyDescent="0.45">
      <c r="A94" s="14">
        <v>92</v>
      </c>
      <c r="B94" s="35" t="s">
        <v>41</v>
      </c>
      <c r="C94" s="15" t="s">
        <v>42</v>
      </c>
      <c r="D94" s="16">
        <v>1</v>
      </c>
      <c r="E94" s="17">
        <v>1972</v>
      </c>
      <c r="F94" s="17">
        <f t="shared" si="46"/>
        <v>51</v>
      </c>
      <c r="G94" s="18" t="s">
        <v>200</v>
      </c>
      <c r="H94" s="18" t="s">
        <v>268</v>
      </c>
      <c r="I94" s="17">
        <v>0</v>
      </c>
      <c r="J94" s="18">
        <f t="shared" si="47"/>
        <v>2.6880000000000002</v>
      </c>
      <c r="K94" s="17">
        <v>56</v>
      </c>
      <c r="L94" s="17">
        <v>167</v>
      </c>
      <c r="M94" s="18">
        <f t="shared" si="61"/>
        <v>20.07960127648894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1</v>
      </c>
      <c r="U94" s="17">
        <v>1</v>
      </c>
      <c r="V94" s="19" t="s">
        <v>309</v>
      </c>
      <c r="W94" s="17">
        <v>48</v>
      </c>
      <c r="X94" s="20">
        <v>23</v>
      </c>
      <c r="Y94" s="17">
        <v>1</v>
      </c>
      <c r="Z94" s="17">
        <v>9</v>
      </c>
      <c r="AA94" s="17">
        <v>100</v>
      </c>
      <c r="AB94" s="17">
        <v>120</v>
      </c>
      <c r="AC94" s="17">
        <v>60</v>
      </c>
      <c r="AD94" s="18">
        <f t="shared" si="48"/>
        <v>80</v>
      </c>
      <c r="AE94" s="18">
        <v>20</v>
      </c>
      <c r="AF94" s="17">
        <v>37</v>
      </c>
      <c r="AG94" s="17">
        <v>1</v>
      </c>
      <c r="AH94" s="17">
        <v>0</v>
      </c>
      <c r="AI94" s="17">
        <v>0</v>
      </c>
      <c r="AJ94" s="17">
        <v>14</v>
      </c>
      <c r="AK94" s="18">
        <v>26</v>
      </c>
      <c r="AL94" s="18">
        <v>5.7</v>
      </c>
      <c r="AM94" s="18">
        <v>205</v>
      </c>
      <c r="AN94" s="18">
        <v>60</v>
      </c>
      <c r="AO94" s="18">
        <v>227</v>
      </c>
      <c r="AP94" s="18">
        <v>11</v>
      </c>
      <c r="AQ94" s="18">
        <v>29</v>
      </c>
      <c r="AR94" s="18">
        <v>2.6</v>
      </c>
      <c r="AT94" s="18"/>
      <c r="AV94" s="10">
        <v>50</v>
      </c>
      <c r="AW94" s="10">
        <v>29</v>
      </c>
      <c r="AX94" s="17">
        <v>10</v>
      </c>
      <c r="AY94" s="18">
        <v>2.2000000000000002</v>
      </c>
      <c r="AZ94" s="10">
        <v>38.5</v>
      </c>
      <c r="BA94" s="5">
        <v>1.38</v>
      </c>
      <c r="BB94" s="5">
        <v>4.93</v>
      </c>
      <c r="BC94" s="21">
        <v>37</v>
      </c>
      <c r="BD94" s="17">
        <v>131</v>
      </c>
      <c r="BE94" s="21">
        <v>5.8</v>
      </c>
      <c r="BF94" s="17">
        <v>93</v>
      </c>
      <c r="BG94" s="17">
        <v>479</v>
      </c>
      <c r="BH94" s="17">
        <v>2591</v>
      </c>
      <c r="BI94" s="17">
        <v>1258</v>
      </c>
      <c r="BJ94" s="17">
        <v>223</v>
      </c>
      <c r="BK94" s="18"/>
      <c r="BL94" s="18"/>
      <c r="BM94" s="18">
        <v>7.25</v>
      </c>
      <c r="BN94" s="17">
        <v>40</v>
      </c>
      <c r="BO94" s="17">
        <v>62</v>
      </c>
      <c r="BP94" s="21">
        <v>12</v>
      </c>
      <c r="BQ94" s="21">
        <v>100</v>
      </c>
      <c r="BR94" s="18"/>
      <c r="BS94" s="10">
        <v>1.43</v>
      </c>
      <c r="BT94" s="18">
        <v>9.06</v>
      </c>
      <c r="BU94" s="20">
        <v>23</v>
      </c>
      <c r="BV94" s="22">
        <v>46.033353214124759</v>
      </c>
      <c r="BW94" s="18">
        <f t="shared" si="49"/>
        <v>1</v>
      </c>
      <c r="BX94" s="18">
        <f t="shared" si="50"/>
        <v>0</v>
      </c>
      <c r="BY94" s="18">
        <f t="shared" si="51"/>
        <v>0</v>
      </c>
      <c r="BZ94" s="18">
        <f t="shared" si="52"/>
        <v>1</v>
      </c>
      <c r="CA94" s="22">
        <v>0</v>
      </c>
      <c r="CB94" s="22">
        <v>0</v>
      </c>
      <c r="CC94" s="22">
        <v>1</v>
      </c>
      <c r="CD94" s="22">
        <v>0</v>
      </c>
      <c r="CE94" s="22">
        <v>1</v>
      </c>
      <c r="CF94" s="22">
        <f t="shared" si="53"/>
        <v>2</v>
      </c>
      <c r="CG94" s="22">
        <v>2</v>
      </c>
      <c r="CH94" s="22">
        <v>7</v>
      </c>
      <c r="CI94" s="23">
        <v>0</v>
      </c>
      <c r="CJ94" s="23">
        <v>0</v>
      </c>
      <c r="CK94" s="23">
        <v>1</v>
      </c>
      <c r="CL94" s="23">
        <v>0</v>
      </c>
      <c r="CM94" s="23">
        <v>8</v>
      </c>
      <c r="CN94" s="23" t="s">
        <v>203</v>
      </c>
      <c r="CO94" s="18" t="s">
        <v>310</v>
      </c>
      <c r="CP94" s="18" t="s">
        <v>235</v>
      </c>
      <c r="CQ94" s="18">
        <v>180</v>
      </c>
      <c r="CR94" s="18">
        <v>1500</v>
      </c>
      <c r="CS94" s="18" t="s">
        <v>236</v>
      </c>
      <c r="CT94" s="18" t="s">
        <v>207</v>
      </c>
      <c r="CU94" s="17">
        <f t="shared" si="64"/>
        <v>1258</v>
      </c>
      <c r="CV94" s="18" t="s">
        <v>209</v>
      </c>
      <c r="CW94" s="17">
        <v>4000</v>
      </c>
      <c r="CX94" s="21">
        <v>1.5</v>
      </c>
      <c r="CY94" s="17">
        <v>6000</v>
      </c>
      <c r="DB94" s="17">
        <v>2</v>
      </c>
      <c r="DC94" s="17">
        <v>5</v>
      </c>
      <c r="DD94" s="17">
        <v>3</v>
      </c>
      <c r="DE94" s="17">
        <v>80</v>
      </c>
      <c r="DF94" s="17">
        <v>23</v>
      </c>
      <c r="DG94" s="21">
        <v>19</v>
      </c>
      <c r="DH94" s="18">
        <v>4.5</v>
      </c>
      <c r="DI94" s="18">
        <v>160</v>
      </c>
      <c r="DJ94" s="18">
        <v>48.5</v>
      </c>
      <c r="DK94" s="17">
        <v>137</v>
      </c>
      <c r="DL94" s="21">
        <v>14</v>
      </c>
      <c r="DM94" s="21">
        <v>33</v>
      </c>
      <c r="DN94" s="18">
        <v>110</v>
      </c>
      <c r="DO94" s="18">
        <v>4.4000000000000004</v>
      </c>
      <c r="DP94" s="21">
        <v>23</v>
      </c>
      <c r="DQ94" s="18">
        <v>2.7</v>
      </c>
      <c r="DR94" s="18">
        <v>25</v>
      </c>
      <c r="DS94" s="10">
        <v>24.5</v>
      </c>
      <c r="DT94" s="10">
        <v>1236</v>
      </c>
      <c r="DU94" s="10">
        <v>510</v>
      </c>
      <c r="DV94" s="10">
        <v>516</v>
      </c>
      <c r="DW94" s="10">
        <v>1.84</v>
      </c>
      <c r="DX94" s="10">
        <v>1.1200000000000001</v>
      </c>
      <c r="DY94" s="18">
        <v>141</v>
      </c>
      <c r="DZ94" s="18">
        <v>3.1</v>
      </c>
      <c r="EA94" s="18">
        <v>108</v>
      </c>
      <c r="EB94" s="18"/>
      <c r="EC94" s="18"/>
      <c r="ED94" s="17">
        <v>542</v>
      </c>
      <c r="EE94" s="18">
        <v>7.45</v>
      </c>
      <c r="EF94" s="18">
        <v>35</v>
      </c>
      <c r="EG94" s="18">
        <v>115</v>
      </c>
      <c r="EH94" s="18">
        <v>38</v>
      </c>
      <c r="EI94" s="18">
        <f>EG94/0.21</f>
        <v>547.61904761904759</v>
      </c>
      <c r="EJ94" s="18">
        <v>0.3</v>
      </c>
      <c r="EK94" s="10">
        <v>1.06</v>
      </c>
      <c r="EL94" s="5">
        <v>3.38</v>
      </c>
      <c r="EM94" s="18">
        <v>3</v>
      </c>
      <c r="EN94" s="22">
        <v>24</v>
      </c>
      <c r="EO94" s="22">
        <v>49.675004577005971</v>
      </c>
      <c r="EP94" s="18">
        <f t="shared" si="54"/>
        <v>0</v>
      </c>
      <c r="EQ94" s="18">
        <f t="shared" si="55"/>
        <v>1</v>
      </c>
      <c r="ER94" s="18">
        <f t="shared" si="56"/>
        <v>0</v>
      </c>
      <c r="ES94" s="18">
        <f t="shared" si="57"/>
        <v>1</v>
      </c>
      <c r="ET94" s="22">
        <v>0</v>
      </c>
      <c r="EU94" s="22">
        <v>1</v>
      </c>
      <c r="EV94" s="22">
        <v>1</v>
      </c>
      <c r="EW94" s="22">
        <v>0</v>
      </c>
      <c r="EX94" s="22">
        <v>1</v>
      </c>
      <c r="EY94" s="22">
        <f t="shared" si="58"/>
        <v>3</v>
      </c>
      <c r="EZ94" s="22">
        <v>7</v>
      </c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7">
        <v>542</v>
      </c>
      <c r="FT94" s="18"/>
      <c r="FU94" s="18"/>
      <c r="FV94" s="18"/>
      <c r="FW94" s="18"/>
      <c r="FX94" s="18"/>
      <c r="FY94" s="18"/>
      <c r="FZ94" s="18"/>
      <c r="GA94" s="18"/>
      <c r="GB94" s="22">
        <v>11</v>
      </c>
      <c r="GC94" s="22">
        <v>24</v>
      </c>
      <c r="GD94" s="22">
        <v>1</v>
      </c>
      <c r="GE94" s="18"/>
      <c r="GF94" s="18">
        <f t="shared" si="59"/>
        <v>0.56915739268680443</v>
      </c>
      <c r="GG94" s="17">
        <f t="shared" si="62"/>
        <v>716</v>
      </c>
      <c r="GH94" s="17">
        <f t="shared" si="60"/>
        <v>-1</v>
      </c>
      <c r="GI94" s="17">
        <f t="shared" si="45"/>
        <v>-1</v>
      </c>
    </row>
    <row r="95" spans="1:193" ht="18" customHeight="1" x14ac:dyDescent="0.45">
      <c r="A95" s="14">
        <v>93</v>
      </c>
      <c r="B95" s="35" t="s">
        <v>47</v>
      </c>
      <c r="C95" s="15" t="s">
        <v>48</v>
      </c>
      <c r="D95" s="16">
        <v>0</v>
      </c>
      <c r="E95" s="17">
        <v>1976</v>
      </c>
      <c r="F95" s="17">
        <f t="shared" si="46"/>
        <v>47</v>
      </c>
      <c r="G95" s="18" t="s">
        <v>200</v>
      </c>
      <c r="H95" s="18" t="s">
        <v>234</v>
      </c>
      <c r="I95" s="17">
        <v>0</v>
      </c>
      <c r="J95" s="18">
        <f t="shared" si="47"/>
        <v>3.84</v>
      </c>
      <c r="K95" s="17">
        <v>80</v>
      </c>
      <c r="L95" s="17">
        <v>172</v>
      </c>
      <c r="M95" s="18">
        <f t="shared" si="61"/>
        <v>27.041644131963228</v>
      </c>
      <c r="N95" s="17">
        <v>1</v>
      </c>
      <c r="O95" s="17">
        <v>1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9" t="s">
        <v>419</v>
      </c>
      <c r="W95" s="17">
        <v>12</v>
      </c>
      <c r="X95" s="20">
        <v>10</v>
      </c>
      <c r="Y95" s="17">
        <v>1</v>
      </c>
      <c r="Z95" s="17">
        <v>8</v>
      </c>
      <c r="AA95" s="17">
        <v>98</v>
      </c>
      <c r="AB95" s="17">
        <v>140</v>
      </c>
      <c r="AC95" s="17">
        <v>80</v>
      </c>
      <c r="AD95" s="18">
        <f t="shared" si="48"/>
        <v>100</v>
      </c>
      <c r="AE95" s="18">
        <v>21</v>
      </c>
      <c r="AF95" s="17">
        <v>37.5</v>
      </c>
      <c r="AG95" s="17">
        <v>0</v>
      </c>
      <c r="AH95" s="17">
        <v>0</v>
      </c>
      <c r="AI95" s="17">
        <v>0</v>
      </c>
      <c r="AJ95" s="17">
        <v>12</v>
      </c>
      <c r="AK95" s="18">
        <v>7.2</v>
      </c>
      <c r="AL95" s="18">
        <v>5.5</v>
      </c>
      <c r="AM95" s="18">
        <v>188</v>
      </c>
      <c r="AN95" s="18">
        <v>52</v>
      </c>
      <c r="AO95" s="18">
        <v>266</v>
      </c>
      <c r="AP95" s="18">
        <v>14</v>
      </c>
      <c r="AQ95" s="18">
        <v>29</v>
      </c>
      <c r="AR95" s="18"/>
      <c r="AS95" s="21">
        <v>375</v>
      </c>
      <c r="AT95" s="18"/>
      <c r="AV95" s="10">
        <v>87</v>
      </c>
      <c r="AW95" s="10">
        <v>27</v>
      </c>
      <c r="AX95" s="17">
        <v>49</v>
      </c>
      <c r="AY95" s="18">
        <v>1.19</v>
      </c>
      <c r="BA95" s="5">
        <v>0.97</v>
      </c>
      <c r="BB95" s="5">
        <v>0.19</v>
      </c>
      <c r="BC95" s="21">
        <v>66</v>
      </c>
      <c r="BD95" s="17">
        <v>123</v>
      </c>
      <c r="BE95" s="21">
        <v>3.19</v>
      </c>
      <c r="BF95" s="17">
        <v>86</v>
      </c>
      <c r="BH95" s="17">
        <v>597</v>
      </c>
      <c r="BI95" s="17">
        <v>1504</v>
      </c>
      <c r="BJ95" s="17">
        <v>268</v>
      </c>
      <c r="BK95" s="18"/>
      <c r="BL95" s="18"/>
      <c r="BM95" s="18">
        <v>7.43</v>
      </c>
      <c r="BN95" s="17">
        <v>26</v>
      </c>
      <c r="BO95" s="17">
        <v>75</v>
      </c>
      <c r="BP95" s="21">
        <v>25</v>
      </c>
      <c r="BQ95" s="21">
        <v>400</v>
      </c>
      <c r="BR95" s="18"/>
      <c r="BU95" s="20">
        <v>10</v>
      </c>
      <c r="BV95" s="22">
        <v>11.334697884966939</v>
      </c>
      <c r="BW95" s="18">
        <f t="shared" si="49"/>
        <v>1</v>
      </c>
      <c r="BX95" s="18">
        <f t="shared" si="50"/>
        <v>1</v>
      </c>
      <c r="BY95" s="18">
        <f t="shared" si="51"/>
        <v>1</v>
      </c>
      <c r="BZ95" s="18">
        <f t="shared" si="52"/>
        <v>3</v>
      </c>
      <c r="CA95" s="22">
        <v>1</v>
      </c>
      <c r="CB95" s="22">
        <v>1</v>
      </c>
      <c r="CC95" s="22">
        <v>1</v>
      </c>
      <c r="CD95" s="22">
        <v>0</v>
      </c>
      <c r="CE95" s="22">
        <v>0</v>
      </c>
      <c r="CF95" s="22">
        <f t="shared" si="53"/>
        <v>3</v>
      </c>
      <c r="CG95" s="22">
        <v>1</v>
      </c>
      <c r="CH95" s="22">
        <v>2</v>
      </c>
      <c r="CI95" s="23">
        <v>0</v>
      </c>
      <c r="CJ95" s="23">
        <v>1</v>
      </c>
      <c r="CK95" s="23">
        <v>0</v>
      </c>
      <c r="CL95" s="23">
        <v>0</v>
      </c>
      <c r="CM95" s="23">
        <v>4</v>
      </c>
      <c r="CN95" s="23" t="s">
        <v>219</v>
      </c>
      <c r="CO95" s="18" t="s">
        <v>420</v>
      </c>
      <c r="CP95" s="18" t="s">
        <v>235</v>
      </c>
      <c r="CQ95" s="18">
        <v>180</v>
      </c>
      <c r="CR95" s="18">
        <v>1200</v>
      </c>
      <c r="CS95" s="18" t="s">
        <v>236</v>
      </c>
      <c r="CT95" s="18" t="s">
        <v>207</v>
      </c>
      <c r="CU95" s="17">
        <f t="shared" si="64"/>
        <v>1504</v>
      </c>
      <c r="CV95" s="18" t="s">
        <v>209</v>
      </c>
      <c r="CW95" s="17">
        <v>2700</v>
      </c>
      <c r="CX95" s="21">
        <v>1.5</v>
      </c>
      <c r="CY95" s="17">
        <v>4100</v>
      </c>
      <c r="CZ95" s="17">
        <v>3200</v>
      </c>
      <c r="DA95" s="17">
        <v>1200</v>
      </c>
      <c r="DB95" s="17">
        <v>1</v>
      </c>
      <c r="DC95" s="17">
        <v>0</v>
      </c>
      <c r="DD95" s="17">
        <v>3</v>
      </c>
      <c r="DE95" s="17">
        <v>88</v>
      </c>
      <c r="DF95" s="17">
        <v>17</v>
      </c>
      <c r="DG95" s="21">
        <v>8.1999999999999993</v>
      </c>
      <c r="DH95" s="18">
        <v>5.14</v>
      </c>
      <c r="DI95" s="18">
        <v>169</v>
      </c>
      <c r="DJ95" s="18">
        <v>47</v>
      </c>
      <c r="DK95" s="17">
        <v>171</v>
      </c>
      <c r="DL95" s="21">
        <v>19</v>
      </c>
      <c r="DM95" s="21">
        <v>65</v>
      </c>
      <c r="DN95" s="18">
        <v>185</v>
      </c>
      <c r="DO95" s="18"/>
      <c r="DP95" s="21">
        <v>55</v>
      </c>
      <c r="DQ95" s="18">
        <v>1.1000000000000001</v>
      </c>
      <c r="DR95" s="18">
        <v>72</v>
      </c>
      <c r="DT95" s="10">
        <v>625</v>
      </c>
      <c r="DY95" s="18">
        <v>142</v>
      </c>
      <c r="DZ95" s="18">
        <v>4.9000000000000004</v>
      </c>
      <c r="EA95" s="18">
        <v>111</v>
      </c>
      <c r="EB95" s="18"/>
      <c r="EC95" s="18"/>
      <c r="ED95" s="17">
        <v>548</v>
      </c>
      <c r="EE95" s="18">
        <v>7.39</v>
      </c>
      <c r="EF95" s="18">
        <v>39</v>
      </c>
      <c r="EG95" s="18">
        <v>90</v>
      </c>
      <c r="EH95" s="18">
        <v>27</v>
      </c>
      <c r="EI95" s="18">
        <f>EG95/0.21</f>
        <v>428.57142857142861</v>
      </c>
      <c r="EJ95" s="18">
        <f>EG95/EI95</f>
        <v>0.21</v>
      </c>
      <c r="EL95" s="18"/>
      <c r="EM95" s="18">
        <v>15</v>
      </c>
      <c r="EN95" s="22">
        <v>3</v>
      </c>
      <c r="EO95" s="22">
        <v>4.3981843668079526</v>
      </c>
      <c r="EP95" s="18">
        <f t="shared" si="54"/>
        <v>0</v>
      </c>
      <c r="EQ95" s="18">
        <f t="shared" si="55"/>
        <v>0</v>
      </c>
      <c r="ER95" s="18">
        <f t="shared" si="56"/>
        <v>1</v>
      </c>
      <c r="ES95" s="18">
        <f t="shared" si="57"/>
        <v>1</v>
      </c>
      <c r="ET95" s="22">
        <v>1</v>
      </c>
      <c r="EU95" s="22">
        <v>0</v>
      </c>
      <c r="EV95" s="22">
        <v>0</v>
      </c>
      <c r="EW95" s="22">
        <v>0</v>
      </c>
      <c r="EX95" s="22">
        <v>0</v>
      </c>
      <c r="EY95" s="22">
        <f t="shared" si="58"/>
        <v>1</v>
      </c>
      <c r="EZ95" s="22">
        <v>2</v>
      </c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7">
        <v>548</v>
      </c>
      <c r="FT95" s="18"/>
      <c r="FU95" s="18"/>
      <c r="FV95" s="18"/>
      <c r="FW95" s="18"/>
      <c r="FX95" s="18"/>
      <c r="FY95" s="18"/>
      <c r="FZ95" s="18"/>
      <c r="GA95" s="18"/>
      <c r="GB95" s="22">
        <v>2</v>
      </c>
      <c r="GC95" s="22">
        <v>3</v>
      </c>
      <c r="GD95" s="22">
        <v>0</v>
      </c>
      <c r="GE95" s="18"/>
      <c r="GF95" s="18">
        <f t="shared" si="59"/>
        <v>0.63563829787234039</v>
      </c>
      <c r="GG95" s="17">
        <f t="shared" si="62"/>
        <v>956</v>
      </c>
      <c r="GH95" s="17">
        <f t="shared" si="60"/>
        <v>2</v>
      </c>
      <c r="GI95" s="17">
        <f t="shared" si="45"/>
        <v>7</v>
      </c>
    </row>
    <row r="96" spans="1:193" ht="18" customHeight="1" x14ac:dyDescent="0.4">
      <c r="C96" s="15"/>
      <c r="D96" s="29"/>
      <c r="E96" s="17"/>
      <c r="G96" s="18"/>
      <c r="H96" s="18"/>
      <c r="J96" s="18"/>
      <c r="M96" s="18"/>
      <c r="X96" s="20"/>
      <c r="AD96" s="18"/>
      <c r="AE96" s="18"/>
      <c r="AL96" s="18"/>
      <c r="AM96" s="18"/>
      <c r="AN96" s="18"/>
      <c r="AO96" s="18"/>
      <c r="AP96" s="18"/>
      <c r="AQ96" s="18"/>
      <c r="AR96" s="18"/>
      <c r="AT96" s="18"/>
      <c r="AY96" s="18"/>
      <c r="BI96" s="17"/>
      <c r="BK96" s="18"/>
      <c r="BL96" s="18"/>
      <c r="BM96" s="18"/>
      <c r="BR96" s="18"/>
      <c r="BU96" s="20"/>
      <c r="BV96" s="22"/>
      <c r="BW96" s="18"/>
      <c r="BX96" s="18"/>
      <c r="BY96" s="18"/>
      <c r="BZ96" s="18"/>
      <c r="CA96" s="22"/>
      <c r="CB96" s="22"/>
      <c r="CC96" s="22"/>
      <c r="CD96" s="22"/>
      <c r="CE96" s="22"/>
      <c r="CF96" s="22"/>
      <c r="CG96" s="22"/>
      <c r="CH96" s="22"/>
      <c r="CI96" s="23"/>
      <c r="CJ96" s="23"/>
      <c r="CK96" s="23"/>
      <c r="CL96" s="23"/>
      <c r="CM96" s="23"/>
      <c r="CN96" s="23"/>
      <c r="CO96" s="18"/>
      <c r="CP96" s="18"/>
      <c r="CQ96" s="18"/>
      <c r="CR96" s="18"/>
      <c r="CS96" s="18"/>
      <c r="CT96" s="18"/>
      <c r="CV96" s="18"/>
      <c r="DH96" s="18"/>
      <c r="DI96" s="18"/>
      <c r="DJ96" s="18"/>
      <c r="DN96" s="18"/>
      <c r="DO96" s="18"/>
      <c r="DQ96" s="18"/>
      <c r="DR96" s="18"/>
      <c r="DY96" s="18"/>
      <c r="DZ96" s="18"/>
      <c r="EA96" s="18"/>
      <c r="EB96" s="18"/>
      <c r="EC96" s="18"/>
      <c r="ED96" s="17"/>
      <c r="EE96" s="18"/>
      <c r="EF96" s="18"/>
      <c r="EG96" s="18"/>
      <c r="EH96" s="18"/>
      <c r="EI96" s="18"/>
      <c r="EJ96" s="18"/>
      <c r="EL96" s="18"/>
      <c r="EM96" s="18"/>
      <c r="EN96" s="22"/>
      <c r="EO96" s="22"/>
      <c r="EP96" s="18"/>
      <c r="EQ96" s="18"/>
      <c r="ER96" s="18"/>
      <c r="ES96" s="18"/>
      <c r="ET96" s="22"/>
      <c r="EU96" s="22"/>
      <c r="EV96" s="22"/>
      <c r="EW96" s="22"/>
      <c r="EX96" s="22"/>
      <c r="EY96" s="22"/>
      <c r="EZ96" s="22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22"/>
      <c r="GC96" s="22"/>
      <c r="GD96" s="22"/>
      <c r="GE96" s="22"/>
      <c r="GF96" s="18"/>
      <c r="GG96" s="17"/>
      <c r="GH96" s="17"/>
      <c r="GI96" s="17"/>
      <c r="GJ96" s="18"/>
    </row>
    <row r="97" spans="3:192" ht="18" customHeight="1" x14ac:dyDescent="0.4">
      <c r="C97" s="15"/>
      <c r="D97" s="29"/>
      <c r="E97" s="17"/>
      <c r="G97" s="18"/>
      <c r="H97" s="18"/>
      <c r="J97" s="18"/>
      <c r="M97" s="18"/>
      <c r="X97" s="20"/>
      <c r="AD97" s="18"/>
      <c r="AE97" s="18"/>
      <c r="AL97" s="18"/>
      <c r="AM97" s="18"/>
      <c r="AN97" s="18"/>
      <c r="AO97" s="18"/>
      <c r="AP97" s="18"/>
      <c r="AQ97" s="18"/>
      <c r="AR97" s="18"/>
      <c r="AT97" s="18"/>
      <c r="AY97" s="18"/>
      <c r="BI97" s="17"/>
      <c r="BK97" s="18"/>
      <c r="BL97" s="18"/>
      <c r="BM97" s="18"/>
      <c r="BR97" s="18"/>
      <c r="BU97" s="20"/>
      <c r="BV97" s="22"/>
      <c r="BW97" s="18"/>
      <c r="BX97" s="18"/>
      <c r="BY97" s="18"/>
      <c r="BZ97" s="18"/>
      <c r="CA97" s="22"/>
      <c r="CB97" s="22"/>
      <c r="CC97" s="22"/>
      <c r="CD97" s="22"/>
      <c r="CE97" s="22"/>
      <c r="CF97" s="22"/>
      <c r="CG97" s="22"/>
      <c r="CH97" s="22"/>
      <c r="CI97" s="23"/>
      <c r="CJ97" s="23"/>
      <c r="CK97" s="23"/>
      <c r="CL97" s="23"/>
      <c r="CM97" s="23"/>
      <c r="CN97" s="23"/>
      <c r="CO97" s="18"/>
      <c r="CP97" s="18"/>
      <c r="CQ97" s="18"/>
      <c r="CR97" s="18"/>
      <c r="CS97" s="18"/>
      <c r="CT97" s="18"/>
      <c r="CV97" s="18"/>
      <c r="DH97" s="18"/>
      <c r="DI97" s="18"/>
      <c r="DJ97" s="18"/>
      <c r="DN97" s="18"/>
      <c r="DO97" s="18"/>
      <c r="DQ97" s="18"/>
      <c r="DR97" s="18"/>
      <c r="DY97" s="18"/>
      <c r="DZ97" s="18"/>
      <c r="EA97" s="18"/>
      <c r="EB97" s="18"/>
      <c r="EC97" s="18"/>
      <c r="ED97" s="17"/>
      <c r="EE97" s="18"/>
      <c r="EF97" s="18"/>
      <c r="EG97" s="18"/>
      <c r="EH97" s="18"/>
      <c r="EI97" s="18"/>
      <c r="EJ97" s="18"/>
      <c r="EL97" s="18"/>
      <c r="EM97" s="18"/>
      <c r="EN97" s="22"/>
      <c r="EO97" s="22"/>
      <c r="EP97" s="18"/>
      <c r="EQ97" s="18"/>
      <c r="ER97" s="18"/>
      <c r="ES97" s="18"/>
      <c r="ET97" s="22"/>
      <c r="EU97" s="22"/>
      <c r="EV97" s="22"/>
      <c r="EW97" s="22"/>
      <c r="EX97" s="22"/>
      <c r="EY97" s="22"/>
      <c r="EZ97" s="22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7"/>
      <c r="FT97" s="18"/>
      <c r="FU97" s="18"/>
      <c r="FV97" s="18"/>
      <c r="FW97" s="18"/>
      <c r="FX97" s="18"/>
      <c r="FY97" s="18"/>
      <c r="FZ97" s="18"/>
      <c r="GA97" s="18"/>
      <c r="GB97" s="22"/>
      <c r="GC97" s="22"/>
      <c r="GD97" s="22"/>
      <c r="GE97" s="18"/>
      <c r="GF97" s="18"/>
      <c r="GG97" s="17"/>
      <c r="GH97" s="17"/>
      <c r="GI97" s="17"/>
    </row>
    <row r="98" spans="3:192" ht="18" customHeight="1" x14ac:dyDescent="0.4">
      <c r="C98" s="15"/>
      <c r="D98" s="29"/>
      <c r="E98" s="17"/>
      <c r="G98" s="18"/>
      <c r="H98" s="18"/>
      <c r="J98" s="18"/>
      <c r="M98" s="18"/>
      <c r="X98" s="20"/>
      <c r="AD98" s="18"/>
      <c r="AE98" s="18"/>
      <c r="AL98" s="18"/>
      <c r="AM98" s="18"/>
      <c r="AN98" s="18"/>
      <c r="AO98" s="18"/>
      <c r="AP98" s="18"/>
      <c r="AQ98" s="18"/>
      <c r="AR98" s="18"/>
      <c r="AT98" s="18"/>
      <c r="AY98" s="18"/>
      <c r="BA98" s="5"/>
      <c r="BB98" s="5"/>
      <c r="BI98" s="17"/>
      <c r="BK98" s="18"/>
      <c r="BL98" s="18"/>
      <c r="BM98" s="18"/>
      <c r="BR98" s="18"/>
      <c r="BU98" s="20"/>
      <c r="BV98" s="22"/>
      <c r="BW98" s="18"/>
      <c r="BX98" s="18"/>
      <c r="BY98" s="18"/>
      <c r="BZ98" s="18"/>
      <c r="CA98" s="22"/>
      <c r="CB98" s="22"/>
      <c r="CC98" s="22"/>
      <c r="CD98" s="22"/>
      <c r="CE98" s="22"/>
      <c r="CF98" s="22"/>
      <c r="CG98" s="22"/>
      <c r="CH98" s="22"/>
      <c r="CI98" s="23"/>
      <c r="CJ98" s="23"/>
      <c r="CK98" s="23"/>
      <c r="CL98" s="23"/>
      <c r="CM98" s="23"/>
      <c r="CN98" s="23"/>
      <c r="CO98" s="18"/>
      <c r="CP98" s="18"/>
      <c r="CQ98" s="18"/>
      <c r="CR98" s="18"/>
      <c r="CS98" s="18"/>
      <c r="CT98" s="18"/>
      <c r="CV98" s="18"/>
      <c r="DH98" s="18"/>
      <c r="DI98" s="18"/>
      <c r="DJ98" s="18"/>
      <c r="DN98" s="18"/>
      <c r="DO98" s="18"/>
      <c r="DQ98" s="18"/>
      <c r="DR98" s="18"/>
      <c r="DY98" s="18"/>
      <c r="DZ98" s="18"/>
      <c r="EA98" s="18"/>
      <c r="EB98" s="18"/>
      <c r="EC98" s="18"/>
      <c r="ED98" s="17"/>
      <c r="EE98" s="18"/>
      <c r="EF98" s="18"/>
      <c r="EG98" s="18"/>
      <c r="EH98" s="18"/>
      <c r="EI98" s="18"/>
      <c r="EJ98" s="18"/>
      <c r="EL98" s="18"/>
      <c r="EM98" s="18"/>
      <c r="EN98" s="22"/>
      <c r="EO98" s="22"/>
      <c r="EP98" s="18"/>
      <c r="EQ98" s="18"/>
      <c r="ER98" s="18"/>
      <c r="ES98" s="18"/>
      <c r="ET98" s="22"/>
      <c r="EU98" s="22"/>
      <c r="EV98" s="22"/>
      <c r="EW98" s="22"/>
      <c r="EX98" s="22"/>
      <c r="EY98" s="22"/>
      <c r="EZ98" s="22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7"/>
      <c r="FT98" s="18"/>
      <c r="FU98" s="18"/>
      <c r="FV98" s="18"/>
      <c r="FW98" s="18"/>
      <c r="FX98" s="18"/>
      <c r="FY98" s="18"/>
      <c r="FZ98" s="18"/>
      <c r="GA98" s="18"/>
      <c r="GB98" s="22"/>
      <c r="GC98" s="22"/>
      <c r="GD98" s="22"/>
      <c r="GE98" s="18"/>
      <c r="GF98" s="18"/>
      <c r="GG98" s="17"/>
      <c r="GH98" s="17"/>
      <c r="GI98" s="17"/>
    </row>
    <row r="99" spans="3:192" ht="18" customHeight="1" x14ac:dyDescent="0.4">
      <c r="C99" s="15"/>
      <c r="D99" s="29"/>
      <c r="E99" s="17"/>
      <c r="G99" s="18"/>
      <c r="H99" s="18"/>
      <c r="J99" s="18"/>
      <c r="M99" s="18"/>
      <c r="X99" s="20"/>
      <c r="AD99" s="18"/>
      <c r="AE99" s="18"/>
      <c r="AL99" s="18"/>
      <c r="AM99" s="18"/>
      <c r="AN99" s="18"/>
      <c r="AO99" s="18"/>
      <c r="AP99" s="18"/>
      <c r="AQ99" s="18"/>
      <c r="AR99" s="18"/>
      <c r="AT99" s="18"/>
      <c r="AY99" s="18"/>
      <c r="BA99" s="5"/>
      <c r="BB99" s="5"/>
      <c r="BI99" s="17"/>
      <c r="BK99" s="18"/>
      <c r="BL99" s="18"/>
      <c r="BM99" s="18"/>
      <c r="BR99" s="18"/>
      <c r="BU99" s="20"/>
      <c r="BV99" s="22"/>
      <c r="BW99" s="18"/>
      <c r="BX99" s="18"/>
      <c r="BY99" s="18"/>
      <c r="BZ99" s="18"/>
      <c r="CA99" s="22"/>
      <c r="CB99" s="22"/>
      <c r="CC99" s="22"/>
      <c r="CD99" s="22"/>
      <c r="CE99" s="22"/>
      <c r="CF99" s="22"/>
      <c r="CG99" s="22"/>
      <c r="CH99" s="22"/>
      <c r="CI99" s="23"/>
      <c r="CJ99" s="23"/>
      <c r="CK99" s="23"/>
      <c r="CL99" s="23"/>
      <c r="CM99" s="23"/>
      <c r="CN99" s="23"/>
      <c r="CO99" s="18"/>
      <c r="CP99" s="18"/>
      <c r="CQ99" s="18"/>
      <c r="CR99" s="18"/>
      <c r="CS99" s="18"/>
      <c r="CT99" s="18"/>
      <c r="CV99" s="18"/>
      <c r="DH99" s="18"/>
      <c r="DI99" s="18"/>
      <c r="DJ99" s="18"/>
      <c r="DN99" s="18"/>
      <c r="DO99" s="18"/>
      <c r="DQ99" s="18"/>
      <c r="DR99" s="18"/>
      <c r="DY99" s="18"/>
      <c r="DZ99" s="18"/>
      <c r="EA99" s="18"/>
      <c r="EB99" s="18"/>
      <c r="EC99" s="18"/>
      <c r="ED99" s="17"/>
      <c r="EE99" s="18"/>
      <c r="EF99" s="18"/>
      <c r="EG99" s="18"/>
      <c r="EH99" s="18"/>
      <c r="EI99" s="18"/>
      <c r="EJ99" s="18"/>
      <c r="EL99" s="18"/>
      <c r="EM99" s="18"/>
      <c r="EN99" s="22"/>
      <c r="EO99" s="22"/>
      <c r="EP99" s="18"/>
      <c r="EQ99" s="18"/>
      <c r="ER99" s="18"/>
      <c r="ES99" s="18"/>
      <c r="ET99" s="22"/>
      <c r="EU99" s="22"/>
      <c r="EV99" s="22"/>
      <c r="EW99" s="22"/>
      <c r="EX99" s="22"/>
      <c r="EY99" s="22"/>
      <c r="EZ99" s="22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22"/>
      <c r="GC99" s="22"/>
      <c r="GD99" s="22"/>
      <c r="GE99" s="22"/>
      <c r="GF99" s="18"/>
      <c r="GG99" s="17"/>
      <c r="GH99" s="17"/>
      <c r="GI99" s="17"/>
      <c r="GJ99" s="18"/>
    </row>
    <row r="100" spans="3:192" ht="18" customHeight="1" x14ac:dyDescent="0.4">
      <c r="C100" s="15"/>
      <c r="D100" s="29"/>
      <c r="E100" s="17"/>
      <c r="G100" s="18"/>
      <c r="H100" s="18"/>
      <c r="J100" s="18"/>
      <c r="M100" s="18"/>
      <c r="X100" s="20"/>
      <c r="AD100" s="18"/>
      <c r="AE100" s="18"/>
      <c r="AL100" s="18"/>
      <c r="AM100" s="18"/>
      <c r="AN100" s="18"/>
      <c r="AO100" s="18"/>
      <c r="AP100" s="18"/>
      <c r="AQ100" s="18"/>
      <c r="AR100" s="18"/>
      <c r="AT100" s="18"/>
      <c r="AY100" s="18"/>
      <c r="BA100" s="5"/>
      <c r="BB100" s="5"/>
      <c r="BI100" s="17"/>
      <c r="BK100" s="18"/>
      <c r="BL100" s="18"/>
      <c r="BM100" s="18"/>
      <c r="BR100" s="18"/>
      <c r="BU100" s="20"/>
      <c r="BV100" s="22"/>
      <c r="BW100" s="18"/>
      <c r="BX100" s="18"/>
      <c r="BY100" s="18"/>
      <c r="BZ100" s="18"/>
      <c r="CA100" s="22"/>
      <c r="CB100" s="22"/>
      <c r="CC100" s="22"/>
      <c r="CD100" s="22"/>
      <c r="CE100" s="22"/>
      <c r="CF100" s="22"/>
      <c r="CG100" s="22"/>
      <c r="CH100" s="22"/>
      <c r="CI100" s="23"/>
      <c r="CJ100" s="23"/>
      <c r="CK100" s="23"/>
      <c r="CL100" s="23"/>
      <c r="CM100" s="23"/>
      <c r="CN100" s="23"/>
      <c r="CO100" s="18"/>
      <c r="CP100" s="18"/>
      <c r="CQ100" s="18"/>
      <c r="CR100" s="18"/>
      <c r="CS100" s="18"/>
      <c r="CT100" s="18"/>
      <c r="CV100" s="18"/>
      <c r="DH100" s="18"/>
      <c r="DI100" s="18"/>
      <c r="DJ100" s="18"/>
      <c r="DN100" s="18"/>
      <c r="DO100" s="18"/>
      <c r="DQ100" s="18"/>
      <c r="DR100" s="18"/>
      <c r="DY100" s="18"/>
      <c r="DZ100" s="18"/>
      <c r="EA100" s="18"/>
      <c r="EB100" s="18"/>
      <c r="EC100" s="18"/>
      <c r="ED100" s="17"/>
      <c r="EE100" s="18"/>
      <c r="EF100" s="18"/>
      <c r="EG100" s="18"/>
      <c r="EH100" s="18"/>
      <c r="EI100" s="18"/>
      <c r="EJ100" s="18"/>
      <c r="EL100" s="18"/>
      <c r="EM100" s="18"/>
      <c r="EN100" s="22"/>
      <c r="EO100" s="22"/>
      <c r="EP100" s="18"/>
      <c r="EQ100" s="18"/>
      <c r="ER100" s="18"/>
      <c r="ES100" s="18"/>
      <c r="ET100" s="22"/>
      <c r="EU100" s="22"/>
      <c r="EV100" s="22"/>
      <c r="EW100" s="22"/>
      <c r="EX100" s="22"/>
      <c r="EY100" s="22"/>
      <c r="EZ100" s="22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7"/>
      <c r="FT100" s="18"/>
      <c r="FU100" s="18"/>
      <c r="FV100" s="18"/>
      <c r="FW100" s="18"/>
      <c r="FX100" s="18"/>
      <c r="FY100" s="18"/>
      <c r="FZ100" s="18"/>
      <c r="GA100" s="18"/>
      <c r="GB100" s="22"/>
      <c r="GC100" s="22"/>
      <c r="GD100" s="22"/>
      <c r="GE100" s="18"/>
      <c r="GF100" s="18"/>
      <c r="GG100" s="17"/>
      <c r="GH100" s="17"/>
      <c r="GI100" s="17"/>
    </row>
    <row r="101" spans="3:192" ht="18" customHeight="1" x14ac:dyDescent="0.4">
      <c r="C101" s="15"/>
      <c r="D101" s="29"/>
      <c r="E101" s="17"/>
      <c r="G101" s="18"/>
      <c r="H101" s="18"/>
      <c r="J101" s="18"/>
      <c r="M101" s="18"/>
      <c r="X101" s="20"/>
      <c r="AD101" s="18"/>
      <c r="AE101" s="18"/>
      <c r="AL101" s="18"/>
      <c r="AM101" s="18"/>
      <c r="AN101" s="18"/>
      <c r="AO101" s="18"/>
      <c r="AP101" s="18"/>
      <c r="AQ101" s="18"/>
      <c r="AR101" s="18"/>
      <c r="AT101" s="18"/>
      <c r="AY101" s="18"/>
      <c r="BA101" s="5"/>
      <c r="BB101" s="5"/>
      <c r="BI101" s="17"/>
      <c r="BK101" s="18"/>
      <c r="BL101" s="18"/>
      <c r="BM101" s="18"/>
      <c r="BR101" s="18"/>
      <c r="BU101" s="20"/>
      <c r="BV101" s="22"/>
      <c r="BW101" s="18"/>
      <c r="BX101" s="18"/>
      <c r="BY101" s="18"/>
      <c r="BZ101" s="18"/>
      <c r="CA101" s="22"/>
      <c r="CB101" s="22"/>
      <c r="CC101" s="22"/>
      <c r="CD101" s="22"/>
      <c r="CE101" s="22"/>
      <c r="CF101" s="22"/>
      <c r="CG101" s="22"/>
      <c r="CH101" s="22"/>
      <c r="CI101" s="23"/>
      <c r="CJ101" s="23"/>
      <c r="CK101" s="23"/>
      <c r="CL101" s="23"/>
      <c r="CM101" s="23"/>
      <c r="CN101" s="23"/>
      <c r="CO101" s="18"/>
      <c r="CP101" s="18"/>
      <c r="CQ101" s="18"/>
      <c r="CR101" s="18"/>
      <c r="CS101" s="18"/>
      <c r="CT101" s="18"/>
      <c r="CV101" s="18"/>
      <c r="DH101" s="18"/>
      <c r="DI101" s="18"/>
      <c r="DJ101" s="18"/>
      <c r="DN101" s="18"/>
      <c r="DO101" s="18"/>
      <c r="DQ101" s="18"/>
      <c r="DR101" s="18"/>
      <c r="DY101" s="18"/>
      <c r="DZ101" s="18"/>
      <c r="EA101" s="18"/>
      <c r="EB101" s="18"/>
      <c r="EC101" s="18"/>
      <c r="ED101" s="17"/>
      <c r="EE101" s="18"/>
      <c r="EF101" s="18"/>
      <c r="EG101" s="18"/>
      <c r="EH101" s="18"/>
      <c r="EI101" s="18"/>
      <c r="EJ101" s="18"/>
      <c r="EL101" s="18"/>
      <c r="EM101" s="18"/>
      <c r="EN101" s="22"/>
      <c r="EO101" s="22"/>
      <c r="EP101" s="18"/>
      <c r="EQ101" s="18"/>
      <c r="ER101" s="18"/>
      <c r="ES101" s="18"/>
      <c r="ET101" s="22"/>
      <c r="EU101" s="22"/>
      <c r="EV101" s="22"/>
      <c r="EW101" s="22"/>
      <c r="EX101" s="22"/>
      <c r="EY101" s="22"/>
      <c r="EZ101" s="22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7"/>
      <c r="FT101" s="18"/>
      <c r="FU101" s="18"/>
      <c r="FV101" s="18"/>
      <c r="FW101" s="18"/>
      <c r="FX101" s="18"/>
      <c r="FY101" s="18"/>
      <c r="FZ101" s="18"/>
      <c r="GA101" s="18"/>
      <c r="GB101" s="22"/>
      <c r="GC101" s="22"/>
      <c r="GD101" s="22"/>
      <c r="GE101" s="18"/>
      <c r="GF101" s="18"/>
      <c r="GG101" s="17"/>
      <c r="GH101" s="17"/>
      <c r="GI101" s="17"/>
    </row>
    <row r="102" spans="3:192" ht="18" customHeight="1" x14ac:dyDescent="0.4">
      <c r="C102" s="15"/>
      <c r="D102" s="29"/>
      <c r="E102" s="17"/>
      <c r="G102" s="18"/>
      <c r="H102" s="18"/>
      <c r="J102" s="18"/>
      <c r="M102" s="18"/>
      <c r="X102" s="20"/>
      <c r="AD102" s="18"/>
      <c r="AE102" s="18"/>
      <c r="AL102" s="18"/>
      <c r="AM102" s="18"/>
      <c r="AN102" s="18"/>
      <c r="AO102" s="18"/>
      <c r="AP102" s="18"/>
      <c r="AQ102" s="18"/>
      <c r="AR102" s="18"/>
      <c r="AT102" s="18"/>
      <c r="AY102" s="18"/>
      <c r="BA102" s="5"/>
      <c r="BI102" s="17"/>
      <c r="BK102" s="18"/>
      <c r="BL102" s="18"/>
      <c r="BM102" s="18"/>
      <c r="BR102" s="18"/>
      <c r="BU102" s="20"/>
      <c r="BV102" s="22"/>
      <c r="BW102" s="18"/>
      <c r="BX102" s="18"/>
      <c r="BY102" s="18"/>
      <c r="BZ102" s="18"/>
      <c r="CA102" s="22"/>
      <c r="CB102" s="22"/>
      <c r="CC102" s="22"/>
      <c r="CD102" s="22"/>
      <c r="CE102" s="22"/>
      <c r="CF102" s="22"/>
      <c r="CG102" s="22"/>
      <c r="CH102" s="22"/>
      <c r="CI102" s="23"/>
      <c r="CJ102" s="23"/>
      <c r="CK102" s="23"/>
      <c r="CL102" s="23"/>
      <c r="CM102" s="23"/>
      <c r="CN102" s="23"/>
      <c r="CO102" s="18"/>
      <c r="CP102" s="18"/>
      <c r="CQ102" s="18"/>
      <c r="CR102" s="18"/>
      <c r="CS102" s="18"/>
      <c r="CT102" s="18"/>
      <c r="CV102" s="18"/>
      <c r="DH102" s="18"/>
      <c r="DI102" s="18"/>
      <c r="DJ102" s="18"/>
      <c r="DN102" s="18"/>
      <c r="DO102" s="18"/>
      <c r="DQ102" s="18"/>
      <c r="DR102" s="18"/>
      <c r="DY102" s="18"/>
      <c r="DZ102" s="18"/>
      <c r="EA102" s="18"/>
      <c r="EB102" s="18"/>
      <c r="EC102" s="18"/>
      <c r="ED102" s="17"/>
      <c r="EE102" s="18"/>
      <c r="EF102" s="18"/>
      <c r="EG102" s="18"/>
      <c r="EH102" s="18"/>
      <c r="EI102" s="18"/>
      <c r="EJ102" s="18"/>
      <c r="EL102" s="18"/>
      <c r="EM102" s="18"/>
      <c r="EN102" s="22"/>
      <c r="EO102" s="22"/>
      <c r="EP102" s="18"/>
      <c r="EQ102" s="18"/>
      <c r="ER102" s="18"/>
      <c r="ES102" s="18"/>
      <c r="ET102" s="22"/>
      <c r="EU102" s="22"/>
      <c r="EV102" s="22"/>
      <c r="EW102" s="22"/>
      <c r="EX102" s="22"/>
      <c r="EY102" s="22"/>
      <c r="EZ102" s="22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7"/>
      <c r="FT102" s="18"/>
      <c r="FU102" s="18"/>
      <c r="FV102" s="18"/>
      <c r="FW102" s="18"/>
      <c r="FX102" s="18"/>
      <c r="FY102" s="18"/>
      <c r="FZ102" s="18"/>
      <c r="GA102" s="18"/>
      <c r="GB102" s="22"/>
      <c r="GC102" s="22"/>
      <c r="GD102" s="22"/>
      <c r="GE102" s="18"/>
      <c r="GF102" s="18"/>
      <c r="GG102" s="17"/>
      <c r="GH102" s="17"/>
      <c r="GI102" s="17"/>
    </row>
    <row r="103" spans="3:192" ht="18" customHeight="1" x14ac:dyDescent="0.4">
      <c r="C103" s="15"/>
      <c r="D103" s="29"/>
      <c r="E103" s="17"/>
      <c r="G103" s="18"/>
      <c r="H103" s="18"/>
      <c r="J103" s="18"/>
      <c r="M103" s="18"/>
      <c r="X103" s="20"/>
      <c r="AD103" s="18"/>
      <c r="AE103" s="18"/>
      <c r="AL103" s="18"/>
      <c r="AM103" s="18"/>
      <c r="AN103" s="18"/>
      <c r="AO103" s="18"/>
      <c r="AP103" s="18"/>
      <c r="AQ103" s="18"/>
      <c r="AR103" s="18"/>
      <c r="AT103" s="18"/>
      <c r="AY103" s="18"/>
      <c r="BA103" s="5"/>
      <c r="BI103" s="17"/>
      <c r="BK103" s="18"/>
      <c r="BL103" s="18"/>
      <c r="BM103" s="18"/>
      <c r="BR103" s="18"/>
      <c r="BU103" s="20"/>
      <c r="BV103" s="22"/>
      <c r="BW103" s="18"/>
      <c r="BX103" s="18"/>
      <c r="BY103" s="18"/>
      <c r="BZ103" s="18"/>
      <c r="CA103" s="22"/>
      <c r="CB103" s="22"/>
      <c r="CC103" s="22"/>
      <c r="CD103" s="22"/>
      <c r="CE103" s="22"/>
      <c r="CF103" s="22"/>
      <c r="CG103" s="22"/>
      <c r="CH103" s="22"/>
      <c r="CI103" s="23"/>
      <c r="CJ103" s="23"/>
      <c r="CK103" s="23"/>
      <c r="CL103" s="23"/>
      <c r="CM103" s="23"/>
      <c r="CN103" s="23"/>
      <c r="CO103" s="18"/>
      <c r="CP103" s="18"/>
      <c r="CQ103" s="18"/>
      <c r="CR103" s="18"/>
      <c r="CS103" s="18"/>
      <c r="CT103" s="18"/>
      <c r="CV103" s="18"/>
      <c r="DH103" s="18"/>
      <c r="DI103" s="18"/>
      <c r="DJ103" s="18"/>
      <c r="DN103" s="18"/>
      <c r="DO103" s="18"/>
      <c r="DQ103" s="18"/>
      <c r="DR103" s="18"/>
      <c r="DY103" s="18"/>
      <c r="DZ103" s="18"/>
      <c r="EA103" s="18"/>
      <c r="EB103" s="18"/>
      <c r="EC103" s="18"/>
      <c r="ED103" s="17"/>
      <c r="EE103" s="18"/>
      <c r="EF103" s="18"/>
      <c r="EG103" s="18"/>
      <c r="EH103" s="18"/>
      <c r="EI103" s="18"/>
      <c r="EJ103" s="18"/>
      <c r="EL103" s="18"/>
      <c r="EM103" s="18"/>
      <c r="EN103" s="22"/>
      <c r="EO103" s="22"/>
      <c r="EP103" s="18"/>
      <c r="EQ103" s="18"/>
      <c r="ER103" s="18"/>
      <c r="ES103" s="18"/>
      <c r="ET103" s="22"/>
      <c r="EU103" s="22"/>
      <c r="EV103" s="22"/>
      <c r="EW103" s="22"/>
      <c r="EX103" s="22"/>
      <c r="EY103" s="22"/>
      <c r="EZ103" s="22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7"/>
      <c r="FT103" s="18"/>
      <c r="FU103" s="18"/>
      <c r="FV103" s="18"/>
      <c r="FW103" s="18"/>
      <c r="FX103" s="18"/>
      <c r="FY103" s="18"/>
      <c r="FZ103" s="18"/>
      <c r="GA103" s="18"/>
      <c r="GB103" s="22"/>
      <c r="GC103" s="22"/>
      <c r="GD103" s="22"/>
      <c r="GE103" s="18"/>
      <c r="GF103" s="18"/>
      <c r="GG103" s="17"/>
      <c r="GH103" s="17"/>
      <c r="GI103" s="17"/>
    </row>
    <row r="104" spans="3:192" ht="18" customHeight="1" x14ac:dyDescent="0.4">
      <c r="C104" s="15"/>
      <c r="D104" s="29"/>
      <c r="E104" s="17"/>
      <c r="G104" s="18"/>
      <c r="H104" s="18"/>
      <c r="J104" s="18"/>
      <c r="M104" s="18"/>
      <c r="X104" s="20"/>
      <c r="AD104" s="18"/>
      <c r="AE104" s="18"/>
      <c r="AL104" s="18"/>
      <c r="AM104" s="18"/>
      <c r="AN104" s="18"/>
      <c r="AO104" s="18"/>
      <c r="AP104" s="18"/>
      <c r="AQ104" s="18"/>
      <c r="AR104" s="18"/>
      <c r="AT104" s="18"/>
      <c r="AY104" s="18"/>
      <c r="BA104" s="5"/>
      <c r="BB104" s="5"/>
      <c r="BI104" s="17"/>
      <c r="BK104" s="18"/>
      <c r="BL104" s="18"/>
      <c r="BM104" s="18"/>
      <c r="BR104" s="18"/>
      <c r="BU104" s="20"/>
      <c r="BV104" s="22"/>
      <c r="BW104" s="18"/>
      <c r="BX104" s="18"/>
      <c r="BY104" s="18"/>
      <c r="BZ104" s="18"/>
      <c r="CA104" s="22"/>
      <c r="CB104" s="22"/>
      <c r="CC104" s="22"/>
      <c r="CD104" s="22"/>
      <c r="CE104" s="22"/>
      <c r="CF104" s="22"/>
      <c r="CG104" s="22"/>
      <c r="CH104" s="22"/>
      <c r="CI104" s="23"/>
      <c r="CJ104" s="23"/>
      <c r="CK104" s="23"/>
      <c r="CL104" s="23"/>
      <c r="CM104" s="23"/>
      <c r="CN104" s="23"/>
      <c r="CO104" s="18"/>
      <c r="CP104" s="18"/>
      <c r="CQ104" s="18"/>
      <c r="CR104" s="18"/>
      <c r="CS104" s="18"/>
      <c r="CT104" s="18"/>
      <c r="CV104" s="18"/>
      <c r="DH104" s="18"/>
      <c r="DI104" s="18"/>
      <c r="DJ104" s="18"/>
      <c r="DN104" s="18"/>
      <c r="DO104" s="18"/>
      <c r="DQ104" s="18"/>
      <c r="DR104" s="18"/>
      <c r="DY104" s="18"/>
      <c r="DZ104" s="18"/>
      <c r="EA104" s="18"/>
      <c r="EB104" s="18"/>
      <c r="EC104" s="18"/>
      <c r="ED104" s="17"/>
      <c r="EE104" s="18"/>
      <c r="EF104" s="18"/>
      <c r="EG104" s="18"/>
      <c r="EH104" s="18"/>
      <c r="EI104" s="18"/>
      <c r="EJ104" s="18"/>
      <c r="EL104" s="18"/>
      <c r="EM104" s="18"/>
      <c r="EN104" s="22"/>
      <c r="EO104" s="22"/>
      <c r="EP104" s="18"/>
      <c r="EQ104" s="18"/>
      <c r="ER104" s="18"/>
      <c r="ES104" s="18"/>
      <c r="ET104" s="22"/>
      <c r="EU104" s="22"/>
      <c r="EV104" s="22"/>
      <c r="EW104" s="22"/>
      <c r="EX104" s="22"/>
      <c r="EY104" s="22"/>
      <c r="EZ104" s="22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7"/>
      <c r="FT104" s="18"/>
      <c r="FU104" s="18"/>
      <c r="FV104" s="18"/>
      <c r="FW104" s="18"/>
      <c r="FX104" s="18"/>
      <c r="FY104" s="18"/>
      <c r="FZ104" s="18"/>
      <c r="GA104" s="18"/>
      <c r="GB104" s="22"/>
      <c r="GC104" s="22"/>
      <c r="GD104" s="22"/>
      <c r="GE104" s="18"/>
      <c r="GF104" s="18"/>
      <c r="GG104" s="17"/>
      <c r="GH104" s="17"/>
      <c r="GI104" s="17"/>
    </row>
    <row r="105" spans="3:192" ht="18" customHeight="1" x14ac:dyDescent="0.4">
      <c r="C105" s="15"/>
      <c r="D105" s="29"/>
      <c r="E105" s="17"/>
      <c r="G105" s="18"/>
      <c r="H105" s="18"/>
      <c r="J105" s="18"/>
      <c r="M105" s="18"/>
      <c r="X105" s="20"/>
      <c r="AD105" s="18"/>
      <c r="AE105" s="18"/>
      <c r="AL105" s="18"/>
      <c r="AM105" s="18"/>
      <c r="AN105" s="18"/>
      <c r="AO105" s="18"/>
      <c r="AP105" s="18"/>
      <c r="AQ105" s="18"/>
      <c r="AR105" s="18"/>
      <c r="AT105" s="18"/>
      <c r="AY105" s="18"/>
      <c r="BA105" s="5"/>
      <c r="BB105" s="5"/>
      <c r="BI105" s="17"/>
      <c r="BK105" s="18"/>
      <c r="BL105" s="18"/>
      <c r="BM105" s="18"/>
      <c r="BR105" s="18"/>
      <c r="BU105" s="20"/>
      <c r="BV105" s="22"/>
      <c r="BW105" s="18"/>
      <c r="BX105" s="18"/>
      <c r="BY105" s="18"/>
      <c r="BZ105" s="18"/>
      <c r="CA105" s="22"/>
      <c r="CB105" s="22"/>
      <c r="CC105" s="22"/>
      <c r="CD105" s="22"/>
      <c r="CE105" s="22"/>
      <c r="CF105" s="22"/>
      <c r="CG105" s="22"/>
      <c r="CH105" s="22"/>
      <c r="CI105" s="23"/>
      <c r="CJ105" s="23"/>
      <c r="CK105" s="23"/>
      <c r="CL105" s="23"/>
      <c r="CM105" s="23"/>
      <c r="CN105" s="23"/>
      <c r="CO105" s="18"/>
      <c r="CP105" s="18"/>
      <c r="CQ105" s="18"/>
      <c r="CR105" s="18"/>
      <c r="CS105" s="18"/>
      <c r="CT105" s="18"/>
      <c r="CV105" s="18"/>
      <c r="DH105" s="18"/>
      <c r="DI105" s="18"/>
      <c r="DJ105" s="18"/>
      <c r="DN105" s="18"/>
      <c r="DO105" s="18"/>
      <c r="DQ105" s="18"/>
      <c r="DR105" s="18"/>
      <c r="DY105" s="18"/>
      <c r="DZ105" s="18"/>
      <c r="EA105" s="18"/>
      <c r="EB105" s="18"/>
      <c r="EC105" s="18"/>
      <c r="ED105" s="17"/>
      <c r="EE105" s="18"/>
      <c r="EF105" s="18"/>
      <c r="EG105" s="18"/>
      <c r="EH105" s="18"/>
      <c r="EI105" s="18"/>
      <c r="EJ105" s="18"/>
      <c r="EL105" s="5"/>
      <c r="EM105" s="18"/>
      <c r="EN105" s="22"/>
      <c r="EO105" s="22"/>
      <c r="EP105" s="18"/>
      <c r="EQ105" s="18"/>
      <c r="ER105" s="18"/>
      <c r="ES105" s="18"/>
      <c r="ET105" s="22"/>
      <c r="EU105" s="22"/>
      <c r="EV105" s="22"/>
      <c r="EW105" s="22"/>
      <c r="EX105" s="22"/>
      <c r="EY105" s="22"/>
      <c r="EZ105" s="22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7"/>
      <c r="FT105" s="18"/>
      <c r="FU105" s="18"/>
      <c r="FV105" s="18"/>
      <c r="FW105" s="18"/>
      <c r="FX105" s="18"/>
      <c r="FY105" s="18"/>
      <c r="FZ105" s="18"/>
      <c r="GA105" s="18"/>
      <c r="GB105" s="22"/>
      <c r="GC105" s="22"/>
      <c r="GD105" s="22"/>
      <c r="GE105" s="18"/>
      <c r="GF105" s="18"/>
      <c r="GG105" s="17"/>
      <c r="GH105" s="17"/>
      <c r="GI105" s="17"/>
    </row>
    <row r="106" spans="3:192" ht="18" customHeight="1" x14ac:dyDescent="0.4">
      <c r="C106" s="15"/>
      <c r="D106" s="29"/>
      <c r="E106" s="17"/>
      <c r="G106" s="18"/>
      <c r="H106" s="18"/>
      <c r="J106" s="18"/>
      <c r="M106" s="18"/>
      <c r="X106" s="20"/>
      <c r="AD106" s="18"/>
      <c r="AE106" s="18"/>
      <c r="AL106" s="18"/>
      <c r="AM106" s="18"/>
      <c r="AN106" s="18"/>
      <c r="AO106" s="18"/>
      <c r="AP106" s="18"/>
      <c r="AQ106" s="18"/>
      <c r="AR106" s="18"/>
      <c r="AT106" s="18"/>
      <c r="AY106" s="18"/>
      <c r="BI106" s="17"/>
      <c r="BK106" s="18"/>
      <c r="BL106" s="18"/>
      <c r="BM106" s="18"/>
      <c r="BR106" s="18"/>
      <c r="BU106" s="20"/>
      <c r="BV106" s="22"/>
      <c r="BW106" s="18"/>
      <c r="BX106" s="18"/>
      <c r="BY106" s="18"/>
      <c r="BZ106" s="18"/>
      <c r="CA106" s="22"/>
      <c r="CB106" s="22"/>
      <c r="CC106" s="22"/>
      <c r="CD106" s="22"/>
      <c r="CE106" s="22"/>
      <c r="CF106" s="22"/>
      <c r="CG106" s="22"/>
      <c r="CH106" s="22"/>
      <c r="CI106" s="23"/>
      <c r="CJ106" s="23"/>
      <c r="CK106" s="23"/>
      <c r="CL106" s="23"/>
      <c r="CM106" s="23"/>
      <c r="CN106" s="23"/>
      <c r="CO106" s="18"/>
      <c r="CP106" s="18"/>
      <c r="CQ106" s="18"/>
      <c r="CR106" s="18"/>
      <c r="CS106" s="18"/>
      <c r="CT106" s="18"/>
      <c r="CV106" s="18"/>
      <c r="DH106" s="18"/>
      <c r="DI106" s="18"/>
      <c r="DJ106" s="18"/>
      <c r="DN106" s="18"/>
      <c r="DO106" s="18"/>
      <c r="DQ106" s="18"/>
      <c r="DR106" s="18"/>
      <c r="DY106" s="18"/>
      <c r="DZ106" s="18"/>
      <c r="EA106" s="18"/>
      <c r="EB106" s="18"/>
      <c r="EC106" s="18"/>
      <c r="ED106" s="17"/>
      <c r="EE106" s="18"/>
      <c r="EF106" s="18"/>
      <c r="EG106" s="18"/>
      <c r="EH106" s="18"/>
      <c r="EI106" s="18"/>
      <c r="EJ106" s="18"/>
      <c r="EL106" s="18"/>
      <c r="EM106" s="18"/>
      <c r="EN106" s="22"/>
      <c r="EO106" s="22"/>
      <c r="EP106" s="18"/>
      <c r="EQ106" s="18"/>
      <c r="ER106" s="18"/>
      <c r="ES106" s="18"/>
      <c r="ET106" s="22"/>
      <c r="EU106" s="22"/>
      <c r="EV106" s="22"/>
      <c r="EW106" s="22"/>
      <c r="EX106" s="22"/>
      <c r="EY106" s="22"/>
      <c r="EZ106" s="22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7"/>
      <c r="FT106" s="18"/>
      <c r="FU106" s="18"/>
      <c r="FV106" s="18"/>
      <c r="FW106" s="18"/>
      <c r="FX106" s="18"/>
      <c r="FY106" s="18"/>
      <c r="FZ106" s="18"/>
      <c r="GA106" s="18"/>
      <c r="GB106" s="22"/>
      <c r="GC106" s="22"/>
      <c r="GD106" s="22"/>
      <c r="GE106" s="18"/>
      <c r="GF106" s="18"/>
      <c r="GG106" s="17"/>
      <c r="GH106" s="17"/>
      <c r="GI106" s="17"/>
    </row>
    <row r="107" spans="3:192" ht="18" customHeight="1" x14ac:dyDescent="0.4">
      <c r="C107" s="15"/>
      <c r="D107" s="29"/>
      <c r="E107" s="17"/>
      <c r="G107" s="18"/>
      <c r="H107" s="18"/>
      <c r="J107" s="18"/>
      <c r="M107" s="18"/>
      <c r="X107" s="20"/>
      <c r="AD107" s="18"/>
      <c r="AE107" s="18"/>
      <c r="AL107" s="18"/>
      <c r="AM107" s="18"/>
      <c r="AN107" s="18"/>
      <c r="AO107" s="18"/>
      <c r="AP107" s="18"/>
      <c r="AQ107" s="18"/>
      <c r="AR107" s="18"/>
      <c r="AT107" s="18"/>
      <c r="AY107" s="18"/>
      <c r="BA107" s="5"/>
      <c r="BB107" s="5"/>
      <c r="BI107" s="17"/>
      <c r="BK107" s="18"/>
      <c r="BL107" s="18"/>
      <c r="BM107" s="18"/>
      <c r="BR107" s="18"/>
      <c r="BU107" s="20"/>
      <c r="BV107" s="22"/>
      <c r="BW107" s="18"/>
      <c r="BX107" s="18"/>
      <c r="BY107" s="18"/>
      <c r="BZ107" s="18"/>
      <c r="CA107" s="22"/>
      <c r="CB107" s="22"/>
      <c r="CC107" s="22"/>
      <c r="CD107" s="22"/>
      <c r="CE107" s="22"/>
      <c r="CF107" s="22"/>
      <c r="CG107" s="22"/>
      <c r="CH107" s="22"/>
      <c r="CI107" s="23"/>
      <c r="CJ107" s="23"/>
      <c r="CK107" s="23"/>
      <c r="CL107" s="23"/>
      <c r="CM107" s="23"/>
      <c r="CN107" s="23"/>
      <c r="CO107" s="18"/>
      <c r="CP107" s="18"/>
      <c r="CQ107" s="18"/>
      <c r="CR107" s="18"/>
      <c r="CS107" s="18"/>
      <c r="CT107" s="18"/>
      <c r="CV107" s="18"/>
      <c r="DH107" s="18"/>
      <c r="DI107" s="18"/>
      <c r="DJ107" s="18"/>
      <c r="DN107" s="18"/>
      <c r="DO107" s="18"/>
      <c r="DQ107" s="18"/>
      <c r="DR107" s="18"/>
      <c r="DY107" s="18"/>
      <c r="DZ107" s="18"/>
      <c r="EA107" s="18"/>
      <c r="EB107" s="18"/>
      <c r="EC107" s="18"/>
      <c r="ED107" s="17"/>
      <c r="EE107" s="18"/>
      <c r="EF107" s="18"/>
      <c r="EG107" s="18"/>
      <c r="EH107" s="18"/>
      <c r="EI107" s="18"/>
      <c r="EJ107" s="18"/>
      <c r="EL107" s="18"/>
      <c r="EM107" s="18"/>
      <c r="EN107" s="22"/>
      <c r="EO107" s="22"/>
      <c r="EP107" s="18"/>
      <c r="EQ107" s="18"/>
      <c r="ER107" s="18"/>
      <c r="ES107" s="18"/>
      <c r="ET107" s="22"/>
      <c r="EU107" s="22"/>
      <c r="EV107" s="22"/>
      <c r="EW107" s="22"/>
      <c r="EX107" s="22"/>
      <c r="EY107" s="22"/>
      <c r="EZ107" s="22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7"/>
      <c r="FT107" s="18"/>
      <c r="FU107" s="18"/>
      <c r="FV107" s="18"/>
      <c r="FW107" s="18"/>
      <c r="FX107" s="18"/>
      <c r="FY107" s="18"/>
      <c r="FZ107" s="18"/>
      <c r="GA107" s="18"/>
      <c r="GB107" s="22"/>
      <c r="GC107" s="22"/>
      <c r="GD107" s="22"/>
      <c r="GE107" s="18"/>
      <c r="GF107" s="18"/>
      <c r="GG107" s="17"/>
      <c r="GH107" s="17"/>
      <c r="GI107" s="17"/>
    </row>
    <row r="108" spans="3:192" ht="18" customHeight="1" x14ac:dyDescent="0.4">
      <c r="C108" s="15"/>
      <c r="D108" s="29"/>
      <c r="E108" s="17"/>
      <c r="G108" s="18"/>
      <c r="H108" s="18"/>
      <c r="J108" s="18"/>
      <c r="M108" s="18"/>
      <c r="X108" s="20"/>
      <c r="AD108" s="18"/>
      <c r="AE108" s="18"/>
      <c r="AL108" s="18"/>
      <c r="AM108" s="18"/>
      <c r="AN108" s="18"/>
      <c r="AO108" s="18"/>
      <c r="AP108" s="18"/>
      <c r="AQ108" s="18"/>
      <c r="AR108" s="18"/>
      <c r="AT108" s="18"/>
      <c r="AY108" s="18"/>
      <c r="BA108" s="5"/>
      <c r="BB108" s="5"/>
      <c r="BI108" s="17"/>
      <c r="BK108" s="18"/>
      <c r="BL108" s="18"/>
      <c r="BM108" s="18"/>
      <c r="BR108" s="18"/>
      <c r="BU108" s="20"/>
      <c r="BV108" s="22"/>
      <c r="BW108" s="18"/>
      <c r="BX108" s="18"/>
      <c r="BY108" s="18"/>
      <c r="BZ108" s="18"/>
      <c r="CA108" s="22"/>
      <c r="CB108" s="22"/>
      <c r="CC108" s="22"/>
      <c r="CD108" s="22"/>
      <c r="CE108" s="22"/>
      <c r="CF108" s="22"/>
      <c r="CG108" s="22"/>
      <c r="CH108" s="22"/>
      <c r="CI108" s="23"/>
      <c r="CJ108" s="23"/>
      <c r="CK108" s="23"/>
      <c r="CL108" s="23"/>
      <c r="CM108" s="23"/>
      <c r="CO108" s="18"/>
      <c r="CP108" s="18"/>
      <c r="CQ108" s="18"/>
      <c r="CR108" s="18"/>
      <c r="CS108" s="18"/>
      <c r="CT108" s="18"/>
      <c r="CV108" s="18"/>
      <c r="DH108" s="18"/>
      <c r="DI108" s="18"/>
      <c r="DJ108" s="18"/>
      <c r="DN108" s="18"/>
      <c r="DO108" s="18"/>
      <c r="DQ108" s="18"/>
      <c r="DR108" s="18"/>
      <c r="DY108" s="18"/>
      <c r="DZ108" s="18"/>
      <c r="EA108" s="18"/>
      <c r="EB108" s="18"/>
      <c r="EC108" s="18"/>
      <c r="ED108" s="17"/>
      <c r="EE108" s="18"/>
      <c r="EF108" s="18"/>
      <c r="EG108" s="18"/>
      <c r="EH108" s="18"/>
      <c r="EI108" s="18"/>
      <c r="EJ108" s="18"/>
      <c r="EL108" s="18"/>
      <c r="EM108" s="18"/>
      <c r="EN108" s="22"/>
      <c r="EO108" s="22"/>
      <c r="EP108" s="18"/>
      <c r="EQ108" s="18"/>
      <c r="ER108" s="18"/>
      <c r="ES108" s="18"/>
      <c r="ET108" s="22"/>
      <c r="EU108" s="22"/>
      <c r="EV108" s="22"/>
      <c r="EW108" s="22"/>
      <c r="EX108" s="22"/>
      <c r="EY108" s="22"/>
      <c r="EZ108" s="22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7"/>
      <c r="FT108" s="18"/>
      <c r="FU108" s="18"/>
      <c r="FV108" s="18"/>
      <c r="FW108" s="18"/>
      <c r="FX108" s="18"/>
      <c r="FY108" s="18"/>
      <c r="FZ108" s="18"/>
      <c r="GA108" s="18"/>
      <c r="GB108" s="22"/>
      <c r="GC108" s="22"/>
      <c r="GD108" s="22"/>
      <c r="GE108" s="18"/>
      <c r="GF108" s="18"/>
      <c r="GG108" s="17"/>
      <c r="GH108" s="17"/>
      <c r="GI108" s="17"/>
    </row>
    <row r="109" spans="3:192" ht="18" customHeight="1" x14ac:dyDescent="0.4">
      <c r="C109" s="15"/>
      <c r="D109" s="29"/>
      <c r="E109" s="17"/>
      <c r="G109" s="18"/>
      <c r="H109" s="18"/>
      <c r="J109" s="18"/>
      <c r="M109" s="18"/>
      <c r="X109" s="20"/>
      <c r="AD109" s="18"/>
      <c r="AE109" s="18"/>
      <c r="AL109" s="18"/>
      <c r="AM109" s="18"/>
      <c r="AN109" s="18"/>
      <c r="AO109" s="18"/>
      <c r="AP109" s="18"/>
      <c r="AQ109" s="18"/>
      <c r="AR109" s="18"/>
      <c r="AT109" s="18"/>
      <c r="AY109" s="18"/>
      <c r="BA109" s="5"/>
      <c r="BB109" s="5"/>
      <c r="BI109" s="17"/>
      <c r="BK109" s="18"/>
      <c r="BL109" s="18"/>
      <c r="BM109" s="18"/>
      <c r="BR109" s="18"/>
      <c r="BU109" s="20"/>
      <c r="BV109" s="22"/>
      <c r="BW109" s="18"/>
      <c r="BX109" s="18"/>
      <c r="BY109" s="18"/>
      <c r="BZ109" s="18"/>
      <c r="CA109" s="22"/>
      <c r="CB109" s="22"/>
      <c r="CC109" s="22"/>
      <c r="CD109" s="22"/>
      <c r="CE109" s="22"/>
      <c r="CF109" s="22"/>
      <c r="CG109" s="22"/>
      <c r="CH109" s="22"/>
      <c r="CI109" s="23"/>
      <c r="CJ109" s="23"/>
      <c r="CK109" s="23"/>
      <c r="CL109" s="23"/>
      <c r="CM109" s="23"/>
      <c r="CN109" s="23"/>
      <c r="CO109" s="18"/>
      <c r="CP109" s="18"/>
      <c r="CQ109" s="18"/>
      <c r="CR109" s="18"/>
      <c r="CS109" s="18"/>
      <c r="CT109" s="18"/>
      <c r="CV109" s="18"/>
      <c r="DH109" s="18"/>
      <c r="DI109" s="18"/>
      <c r="DJ109" s="18"/>
      <c r="DN109" s="18"/>
      <c r="DO109" s="18"/>
      <c r="DQ109" s="18"/>
      <c r="DR109" s="18"/>
      <c r="DY109" s="18"/>
      <c r="DZ109" s="18"/>
      <c r="EA109" s="18"/>
      <c r="EB109" s="18"/>
      <c r="EC109" s="18"/>
      <c r="ED109" s="17"/>
      <c r="EE109" s="18"/>
      <c r="EF109" s="18"/>
      <c r="EG109" s="18"/>
      <c r="EH109" s="18"/>
      <c r="EI109" s="18"/>
      <c r="EJ109" s="18"/>
      <c r="EL109" s="18"/>
      <c r="EM109" s="18"/>
      <c r="EN109" s="22"/>
      <c r="EO109" s="22"/>
      <c r="EP109" s="18"/>
      <c r="EQ109" s="18"/>
      <c r="ER109" s="18"/>
      <c r="ES109" s="18"/>
      <c r="ET109" s="22"/>
      <c r="EU109" s="22"/>
      <c r="EV109" s="22"/>
      <c r="EW109" s="22"/>
      <c r="EX109" s="22"/>
      <c r="EY109" s="22"/>
      <c r="EZ109" s="22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7"/>
      <c r="FT109" s="18"/>
      <c r="FU109" s="18"/>
      <c r="FV109" s="18"/>
      <c r="FW109" s="18"/>
      <c r="FX109" s="18"/>
      <c r="FY109" s="18"/>
      <c r="FZ109" s="18"/>
      <c r="GA109" s="18"/>
      <c r="GB109" s="22"/>
      <c r="GC109" s="22"/>
      <c r="GD109" s="22"/>
      <c r="GE109" s="18"/>
      <c r="GF109" s="18"/>
      <c r="GG109" s="17"/>
      <c r="GH109" s="17"/>
      <c r="GI109" s="17"/>
    </row>
    <row r="110" spans="3:192" ht="18" customHeight="1" x14ac:dyDescent="0.4">
      <c r="C110" s="15"/>
      <c r="D110" s="29"/>
      <c r="E110" s="17"/>
      <c r="G110" s="18"/>
      <c r="H110" s="18"/>
      <c r="J110" s="18"/>
      <c r="M110" s="18"/>
      <c r="X110" s="20"/>
      <c r="AD110" s="18"/>
      <c r="AE110" s="18"/>
      <c r="AL110" s="18"/>
      <c r="AM110" s="18"/>
      <c r="AN110" s="18"/>
      <c r="AO110" s="18"/>
      <c r="AP110" s="18"/>
      <c r="AQ110" s="18"/>
      <c r="AR110" s="18"/>
      <c r="AT110" s="18"/>
      <c r="AY110" s="18"/>
      <c r="BA110" s="5"/>
      <c r="BB110" s="5"/>
      <c r="BI110" s="17"/>
      <c r="BK110" s="18"/>
      <c r="BL110" s="18"/>
      <c r="BM110" s="18"/>
      <c r="BR110" s="18"/>
      <c r="BU110" s="20"/>
      <c r="BV110" s="22"/>
      <c r="BW110" s="18"/>
      <c r="BX110" s="18"/>
      <c r="BY110" s="18"/>
      <c r="BZ110" s="18"/>
      <c r="CA110" s="22"/>
      <c r="CB110" s="22"/>
      <c r="CC110" s="22"/>
      <c r="CD110" s="22"/>
      <c r="CE110" s="22"/>
      <c r="CF110" s="22"/>
      <c r="CG110" s="22"/>
      <c r="CH110" s="22"/>
      <c r="CI110" s="23"/>
      <c r="CJ110" s="23"/>
      <c r="CK110" s="23"/>
      <c r="CL110" s="23"/>
      <c r="CM110" s="23"/>
      <c r="CN110" s="23"/>
      <c r="CO110" s="18"/>
      <c r="CP110" s="18"/>
      <c r="CQ110" s="18"/>
      <c r="CR110" s="18"/>
      <c r="CS110" s="18"/>
      <c r="CT110" s="18"/>
      <c r="CV110" s="18"/>
      <c r="DH110" s="18"/>
      <c r="DI110" s="18"/>
      <c r="DJ110" s="18"/>
      <c r="DN110" s="18"/>
      <c r="DO110" s="18"/>
      <c r="DQ110" s="18"/>
      <c r="DR110" s="18"/>
      <c r="DY110" s="18"/>
      <c r="DZ110" s="18"/>
      <c r="EA110" s="18"/>
      <c r="EB110" s="18"/>
      <c r="EC110" s="18"/>
      <c r="ED110" s="17"/>
      <c r="EE110" s="18"/>
      <c r="EF110" s="18"/>
      <c r="EG110" s="18"/>
      <c r="EH110" s="18"/>
      <c r="EI110" s="18"/>
      <c r="EJ110" s="18"/>
      <c r="EL110" s="18"/>
      <c r="EM110" s="18"/>
      <c r="EN110" s="22"/>
      <c r="EO110" s="22"/>
      <c r="EP110" s="18"/>
      <c r="EQ110" s="18"/>
      <c r="ER110" s="18"/>
      <c r="ES110" s="18"/>
      <c r="ET110" s="22"/>
      <c r="EU110" s="22"/>
      <c r="EV110" s="22"/>
      <c r="EW110" s="22"/>
      <c r="EX110" s="22"/>
      <c r="EY110" s="22"/>
      <c r="EZ110" s="22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7"/>
      <c r="FT110" s="18"/>
      <c r="FU110" s="18"/>
      <c r="FV110" s="18"/>
      <c r="FW110" s="18"/>
      <c r="FX110" s="18"/>
      <c r="FY110" s="18"/>
      <c r="FZ110" s="18"/>
      <c r="GA110" s="18"/>
      <c r="GB110" s="22"/>
      <c r="GC110" s="22"/>
      <c r="GD110" s="22"/>
      <c r="GE110" s="18"/>
      <c r="GF110" s="18"/>
      <c r="GG110" s="17"/>
      <c r="GH110" s="17"/>
      <c r="GI110" s="17"/>
    </row>
    <row r="111" spans="3:192" ht="18" customHeight="1" x14ac:dyDescent="0.4">
      <c r="C111" s="15"/>
      <c r="D111" s="29"/>
      <c r="E111" s="17"/>
      <c r="G111" s="18"/>
      <c r="H111" s="18"/>
      <c r="J111" s="18"/>
      <c r="M111" s="18"/>
      <c r="X111" s="20"/>
      <c r="AD111" s="18"/>
      <c r="AE111" s="18"/>
      <c r="AL111" s="18"/>
      <c r="AM111" s="18"/>
      <c r="AN111" s="18"/>
      <c r="AO111" s="18"/>
      <c r="AP111" s="18"/>
      <c r="AQ111" s="18"/>
      <c r="AR111" s="18"/>
      <c r="AT111" s="18"/>
      <c r="AY111" s="18"/>
      <c r="BA111" s="5"/>
      <c r="BB111" s="5"/>
      <c r="BI111" s="17"/>
      <c r="BK111" s="18"/>
      <c r="BL111" s="18"/>
      <c r="BM111" s="18"/>
      <c r="BR111" s="18"/>
      <c r="BU111" s="20"/>
      <c r="BV111" s="22"/>
      <c r="BW111" s="18"/>
      <c r="BX111" s="18"/>
      <c r="BY111" s="18"/>
      <c r="BZ111" s="18"/>
      <c r="CA111" s="22"/>
      <c r="CB111" s="22"/>
      <c r="CC111" s="22"/>
      <c r="CD111" s="22"/>
      <c r="CE111" s="22"/>
      <c r="CF111" s="22"/>
      <c r="CG111" s="22"/>
      <c r="CH111" s="22"/>
      <c r="CI111" s="23"/>
      <c r="CJ111" s="23"/>
      <c r="CK111" s="23"/>
      <c r="CL111" s="23"/>
      <c r="CM111" s="23"/>
      <c r="CN111" s="23"/>
      <c r="CO111" s="18"/>
      <c r="CP111" s="18"/>
      <c r="CQ111" s="18"/>
      <c r="CR111" s="18"/>
      <c r="CS111" s="18"/>
      <c r="CT111" s="18"/>
      <c r="CV111" s="18"/>
      <c r="DH111" s="18"/>
      <c r="DI111" s="18"/>
      <c r="DJ111" s="18"/>
      <c r="DN111" s="18"/>
      <c r="DO111" s="18"/>
      <c r="DQ111" s="18"/>
      <c r="DR111" s="18"/>
      <c r="DY111" s="18"/>
      <c r="DZ111" s="18"/>
      <c r="EA111" s="18"/>
      <c r="EB111" s="18"/>
      <c r="EC111" s="18"/>
      <c r="ED111" s="17"/>
      <c r="EE111" s="18"/>
      <c r="EF111" s="18"/>
      <c r="EG111" s="18"/>
      <c r="EH111" s="18"/>
      <c r="EI111" s="18"/>
      <c r="EJ111" s="18"/>
      <c r="EL111" s="5"/>
      <c r="EM111" s="18"/>
      <c r="EN111" s="22"/>
      <c r="EO111" s="22"/>
      <c r="EP111" s="18"/>
      <c r="EQ111" s="18"/>
      <c r="ER111" s="18"/>
      <c r="ES111" s="18"/>
      <c r="ET111" s="22"/>
      <c r="EU111" s="22"/>
      <c r="EV111" s="22"/>
      <c r="EW111" s="22"/>
      <c r="EX111" s="22"/>
      <c r="EY111" s="22"/>
      <c r="EZ111" s="22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7"/>
      <c r="FT111" s="18"/>
      <c r="FU111" s="18"/>
      <c r="FV111" s="18"/>
      <c r="FW111" s="18"/>
      <c r="FX111" s="18"/>
      <c r="FY111" s="18"/>
      <c r="FZ111" s="18"/>
      <c r="GA111" s="18"/>
      <c r="GB111" s="22"/>
      <c r="GC111" s="22"/>
      <c r="GD111" s="22"/>
      <c r="GE111" s="18"/>
      <c r="GF111" s="18"/>
      <c r="GG111" s="17"/>
      <c r="GH111" s="17"/>
      <c r="GI111" s="17"/>
    </row>
    <row r="112" spans="3:192" ht="18" customHeight="1" x14ac:dyDescent="0.4">
      <c r="C112" s="15"/>
      <c r="D112" s="29"/>
      <c r="E112" s="17"/>
      <c r="G112" s="18"/>
      <c r="H112" s="18"/>
      <c r="J112" s="18"/>
      <c r="M112" s="18"/>
      <c r="X112" s="20"/>
      <c r="AD112" s="18"/>
      <c r="AE112" s="18"/>
      <c r="AL112" s="18"/>
      <c r="AM112" s="18"/>
      <c r="AN112" s="18"/>
      <c r="AO112" s="18"/>
      <c r="AP112" s="18"/>
      <c r="AQ112" s="18"/>
      <c r="AR112" s="18"/>
      <c r="AT112" s="18"/>
      <c r="AY112" s="18"/>
      <c r="BI112" s="17"/>
      <c r="BK112" s="18"/>
      <c r="BL112" s="18"/>
      <c r="BM112" s="18"/>
      <c r="BR112" s="18"/>
      <c r="BU112" s="20"/>
      <c r="BV112" s="22"/>
      <c r="BW112" s="18"/>
      <c r="BX112" s="18"/>
      <c r="BY112" s="18"/>
      <c r="BZ112" s="18"/>
      <c r="CA112" s="22"/>
      <c r="CB112" s="22"/>
      <c r="CC112" s="22"/>
      <c r="CD112" s="22"/>
      <c r="CE112" s="22"/>
      <c r="CF112" s="22"/>
      <c r="CG112" s="22"/>
      <c r="CH112" s="22"/>
      <c r="CI112" s="23"/>
      <c r="CJ112" s="23"/>
      <c r="CK112" s="23"/>
      <c r="CL112" s="23"/>
      <c r="CM112" s="23"/>
      <c r="CN112" s="23"/>
      <c r="CO112" s="18"/>
      <c r="CP112" s="18"/>
      <c r="CQ112" s="18"/>
      <c r="CR112" s="18"/>
      <c r="CS112" s="18"/>
      <c r="CT112" s="18"/>
      <c r="CV112" s="18"/>
      <c r="DH112" s="18"/>
      <c r="DI112" s="18"/>
      <c r="DJ112" s="18"/>
      <c r="DN112" s="18"/>
      <c r="DO112" s="18"/>
      <c r="DQ112" s="18"/>
      <c r="DR112" s="18"/>
      <c r="DY112" s="18"/>
      <c r="DZ112" s="18"/>
      <c r="EA112" s="18"/>
      <c r="EB112" s="18"/>
      <c r="EC112" s="18"/>
      <c r="ED112" s="17"/>
      <c r="EE112" s="18"/>
      <c r="EF112" s="18"/>
      <c r="EG112" s="18"/>
      <c r="EH112" s="18"/>
      <c r="EI112" s="18"/>
      <c r="EJ112" s="18"/>
      <c r="EL112" s="18"/>
      <c r="EM112" s="18"/>
      <c r="EN112" s="22"/>
      <c r="EO112" s="22"/>
      <c r="EP112" s="18"/>
      <c r="EQ112" s="18"/>
      <c r="ER112" s="18"/>
      <c r="ES112" s="18"/>
      <c r="ET112" s="22"/>
      <c r="EU112" s="22"/>
      <c r="EV112" s="22"/>
      <c r="EW112" s="22"/>
      <c r="EX112" s="22"/>
      <c r="EY112" s="22"/>
      <c r="EZ112" s="22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7"/>
      <c r="FT112" s="18"/>
      <c r="FU112" s="18"/>
      <c r="FV112" s="18"/>
      <c r="FW112" s="18"/>
      <c r="FX112" s="18"/>
      <c r="FY112" s="18"/>
      <c r="FZ112" s="18"/>
      <c r="GA112" s="18"/>
      <c r="GB112" s="22"/>
      <c r="GC112" s="22"/>
      <c r="GD112" s="22"/>
      <c r="GE112" s="18"/>
      <c r="GF112" s="18"/>
      <c r="GG112" s="17"/>
      <c r="GH112" s="17"/>
      <c r="GI112" s="17"/>
    </row>
    <row r="113" spans="3:192" ht="18" customHeight="1" x14ac:dyDescent="0.4">
      <c r="C113" s="15"/>
      <c r="D113" s="29"/>
      <c r="E113" s="17"/>
      <c r="G113" s="18"/>
      <c r="H113" s="18"/>
      <c r="J113" s="18"/>
      <c r="M113" s="18"/>
      <c r="X113" s="20"/>
      <c r="AD113" s="18"/>
      <c r="AE113" s="18"/>
      <c r="AL113" s="18"/>
      <c r="AM113" s="18"/>
      <c r="AN113" s="18"/>
      <c r="AO113" s="18"/>
      <c r="AP113" s="18"/>
      <c r="AQ113" s="18"/>
      <c r="AR113" s="18"/>
      <c r="AT113" s="18"/>
      <c r="AY113" s="18"/>
      <c r="BA113" s="5"/>
      <c r="BB113" s="5"/>
      <c r="BI113" s="17"/>
      <c r="BK113" s="18"/>
      <c r="BL113" s="18"/>
      <c r="BM113" s="18"/>
      <c r="BR113" s="18"/>
      <c r="BU113" s="20"/>
      <c r="BV113" s="22"/>
      <c r="BW113" s="18"/>
      <c r="BX113" s="18"/>
      <c r="BY113" s="18"/>
      <c r="BZ113" s="18"/>
      <c r="CA113" s="22"/>
      <c r="CB113" s="22"/>
      <c r="CC113" s="22"/>
      <c r="CD113" s="22"/>
      <c r="CE113" s="22"/>
      <c r="CF113" s="22"/>
      <c r="CG113" s="22"/>
      <c r="CH113" s="22"/>
      <c r="CI113" s="23"/>
      <c r="CJ113" s="23"/>
      <c r="CK113" s="23"/>
      <c r="CL113" s="23"/>
      <c r="CM113" s="23"/>
      <c r="CN113" s="23"/>
      <c r="CO113" s="18"/>
      <c r="CP113" s="18"/>
      <c r="CQ113" s="18"/>
      <c r="CR113" s="18"/>
      <c r="CS113" s="18"/>
      <c r="CT113" s="18"/>
      <c r="CV113" s="18"/>
      <c r="CW113" s="27"/>
      <c r="CX113" s="28"/>
      <c r="CY113" s="27"/>
      <c r="DH113" s="18"/>
      <c r="DI113" s="18"/>
      <c r="DJ113" s="18"/>
      <c r="DN113" s="18"/>
      <c r="DO113" s="18"/>
      <c r="DQ113" s="18"/>
      <c r="DR113" s="18"/>
      <c r="DY113" s="18"/>
      <c r="DZ113" s="18"/>
      <c r="EA113" s="18"/>
      <c r="EB113" s="18"/>
      <c r="EC113" s="18"/>
      <c r="ED113" s="17"/>
      <c r="EE113" s="18"/>
      <c r="EF113" s="18"/>
      <c r="EG113" s="18"/>
      <c r="EH113" s="18"/>
      <c r="EI113" s="18"/>
      <c r="EJ113" s="18"/>
      <c r="EL113" s="18"/>
      <c r="EM113" s="18"/>
      <c r="EN113" s="22"/>
      <c r="EO113" s="22"/>
      <c r="EP113" s="18"/>
      <c r="EQ113" s="18"/>
      <c r="ER113" s="18"/>
      <c r="ES113" s="18"/>
      <c r="ET113" s="22"/>
      <c r="EU113" s="22"/>
      <c r="EV113" s="22"/>
      <c r="EW113" s="22"/>
      <c r="EX113" s="22"/>
      <c r="EY113" s="22"/>
      <c r="EZ113" s="22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7"/>
      <c r="FT113" s="18"/>
      <c r="FU113" s="18"/>
      <c r="FV113" s="18"/>
      <c r="FW113" s="18"/>
      <c r="FX113" s="18"/>
      <c r="FY113" s="18"/>
      <c r="FZ113" s="18"/>
      <c r="GA113" s="18"/>
      <c r="GB113" s="22"/>
      <c r="GC113" s="22"/>
      <c r="GD113" s="22"/>
      <c r="GE113" s="18"/>
      <c r="GF113" s="18"/>
      <c r="GG113" s="17"/>
      <c r="GH113" s="17"/>
      <c r="GI113" s="17"/>
    </row>
    <row r="114" spans="3:192" ht="18" customHeight="1" x14ac:dyDescent="0.4">
      <c r="C114" s="15"/>
      <c r="D114" s="29"/>
      <c r="E114" s="17"/>
      <c r="G114" s="18"/>
      <c r="H114" s="18"/>
      <c r="J114" s="18"/>
      <c r="M114" s="18"/>
      <c r="X114" s="20"/>
      <c r="AD114" s="18"/>
      <c r="AE114" s="18"/>
      <c r="AL114" s="18"/>
      <c r="AM114" s="18"/>
      <c r="AN114" s="18"/>
      <c r="AO114" s="18"/>
      <c r="AP114" s="18"/>
      <c r="AQ114" s="18"/>
      <c r="AR114" s="18"/>
      <c r="AT114" s="18"/>
      <c r="AY114" s="18"/>
      <c r="BA114" s="5"/>
      <c r="BB114" s="5"/>
      <c r="BI114" s="17"/>
      <c r="BK114" s="18"/>
      <c r="BL114" s="18"/>
      <c r="BM114" s="18"/>
      <c r="BR114" s="18"/>
      <c r="BU114" s="20"/>
      <c r="BV114" s="22"/>
      <c r="BW114" s="18"/>
      <c r="BX114" s="18"/>
      <c r="BY114" s="18"/>
      <c r="BZ114" s="18"/>
      <c r="CA114" s="22"/>
      <c r="CB114" s="22"/>
      <c r="CC114" s="22"/>
      <c r="CD114" s="22"/>
      <c r="CE114" s="22"/>
      <c r="CF114" s="22"/>
      <c r="CG114" s="22"/>
      <c r="CH114" s="22"/>
      <c r="CI114" s="23"/>
      <c r="CJ114" s="23"/>
      <c r="CK114" s="23"/>
      <c r="CL114" s="23"/>
      <c r="CM114" s="23"/>
      <c r="CN114" s="23"/>
      <c r="CO114" s="18"/>
      <c r="CP114" s="18"/>
      <c r="CQ114" s="18"/>
      <c r="CR114" s="18"/>
      <c r="CS114" s="18"/>
      <c r="CT114" s="18"/>
      <c r="CV114" s="18"/>
      <c r="DH114" s="18"/>
      <c r="DI114" s="18"/>
      <c r="DJ114" s="18"/>
      <c r="DN114" s="18"/>
      <c r="DO114" s="18"/>
      <c r="DQ114" s="18"/>
      <c r="DR114" s="18"/>
      <c r="DY114" s="18"/>
      <c r="DZ114" s="18"/>
      <c r="EA114" s="18"/>
      <c r="EB114" s="18"/>
      <c r="EC114" s="18"/>
      <c r="ED114" s="17"/>
      <c r="EE114" s="18"/>
      <c r="EF114" s="18"/>
      <c r="EG114" s="18"/>
      <c r="EH114" s="18"/>
      <c r="EI114" s="18"/>
      <c r="EJ114" s="18"/>
      <c r="EL114" s="5"/>
      <c r="EM114" s="18"/>
      <c r="EN114" s="22"/>
      <c r="EO114" s="22"/>
      <c r="EP114" s="18"/>
      <c r="EQ114" s="18"/>
      <c r="ER114" s="18"/>
      <c r="ES114" s="18"/>
      <c r="ET114" s="22"/>
      <c r="EU114" s="22"/>
      <c r="EV114" s="22"/>
      <c r="EW114" s="22"/>
      <c r="EX114" s="22"/>
      <c r="EY114" s="22"/>
      <c r="EZ114" s="22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7"/>
      <c r="FT114" s="18"/>
      <c r="FU114" s="18"/>
      <c r="FV114" s="18"/>
      <c r="FW114" s="18"/>
      <c r="FX114" s="18"/>
      <c r="FY114" s="18"/>
      <c r="FZ114" s="18"/>
      <c r="GA114" s="18"/>
      <c r="GB114" s="22"/>
      <c r="GC114" s="22"/>
      <c r="GD114" s="22"/>
      <c r="GE114" s="18"/>
      <c r="GF114" s="18"/>
      <c r="GG114" s="17"/>
      <c r="GH114" s="17"/>
      <c r="GI114" s="17"/>
    </row>
    <row r="115" spans="3:192" ht="18" customHeight="1" x14ac:dyDescent="0.4">
      <c r="C115" s="15"/>
      <c r="D115" s="29"/>
      <c r="E115" s="17"/>
      <c r="G115" s="18"/>
      <c r="H115" s="18"/>
      <c r="J115" s="18"/>
      <c r="M115" s="18"/>
      <c r="X115" s="20"/>
      <c r="AD115" s="18"/>
      <c r="AE115" s="18"/>
      <c r="AL115" s="18"/>
      <c r="AM115" s="18"/>
      <c r="AN115" s="18"/>
      <c r="AO115" s="18"/>
      <c r="AP115" s="18"/>
      <c r="AQ115" s="18"/>
      <c r="AR115" s="18"/>
      <c r="AT115" s="18"/>
      <c r="AY115" s="18"/>
      <c r="BA115" s="5"/>
      <c r="BB115" s="5"/>
      <c r="BI115" s="17"/>
      <c r="BK115" s="18"/>
      <c r="BL115" s="18"/>
      <c r="BM115" s="18"/>
      <c r="BR115" s="18"/>
      <c r="BU115" s="20"/>
      <c r="BV115" s="22"/>
      <c r="BW115" s="18"/>
      <c r="BX115" s="18"/>
      <c r="BY115" s="18"/>
      <c r="BZ115" s="18"/>
      <c r="CA115" s="22"/>
      <c r="CB115" s="22"/>
      <c r="CC115" s="22"/>
      <c r="CD115" s="22"/>
      <c r="CE115" s="22"/>
      <c r="CF115" s="22"/>
      <c r="CG115" s="22"/>
      <c r="CH115" s="22"/>
      <c r="CI115" s="23"/>
      <c r="CJ115" s="23"/>
      <c r="CK115" s="23"/>
      <c r="CL115" s="23"/>
      <c r="CM115" s="23"/>
      <c r="CN115" s="23"/>
      <c r="CO115" s="18"/>
      <c r="CP115" s="18"/>
      <c r="CQ115" s="18"/>
      <c r="CR115" s="18"/>
      <c r="CS115" s="18"/>
      <c r="CT115" s="18"/>
      <c r="CV115" s="18"/>
      <c r="DH115" s="18"/>
      <c r="DI115" s="18"/>
      <c r="DJ115" s="18"/>
      <c r="DN115" s="18"/>
      <c r="DO115" s="18"/>
      <c r="DQ115" s="18"/>
      <c r="DR115" s="18"/>
      <c r="DY115" s="18"/>
      <c r="DZ115" s="18"/>
      <c r="EA115" s="18"/>
      <c r="EB115" s="18"/>
      <c r="EC115" s="18"/>
      <c r="ED115" s="17"/>
      <c r="EE115" s="18"/>
      <c r="EF115" s="18"/>
      <c r="EG115" s="18"/>
      <c r="EH115" s="18"/>
      <c r="EI115" s="18"/>
      <c r="EJ115" s="18"/>
      <c r="EL115" s="5"/>
      <c r="EM115" s="18"/>
      <c r="EN115" s="22"/>
      <c r="EO115" s="22"/>
      <c r="EP115" s="18"/>
      <c r="EQ115" s="18"/>
      <c r="ER115" s="18"/>
      <c r="ES115" s="18"/>
      <c r="ET115" s="22"/>
      <c r="EU115" s="22"/>
      <c r="EV115" s="22"/>
      <c r="EW115" s="22"/>
      <c r="EX115" s="22"/>
      <c r="EY115" s="22"/>
      <c r="EZ115" s="22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7"/>
      <c r="FT115" s="18"/>
      <c r="FU115" s="18"/>
      <c r="FV115" s="18"/>
      <c r="FW115" s="18"/>
      <c r="FX115" s="18"/>
      <c r="FY115" s="18"/>
      <c r="FZ115" s="18"/>
      <c r="GA115" s="18"/>
      <c r="GB115" s="22"/>
      <c r="GC115" s="22"/>
      <c r="GD115" s="22"/>
      <c r="GE115" s="18"/>
      <c r="GF115" s="18"/>
      <c r="GG115" s="17"/>
      <c r="GH115" s="17"/>
      <c r="GI115" s="17"/>
    </row>
    <row r="116" spans="3:192" ht="18" customHeight="1" x14ac:dyDescent="0.4">
      <c r="C116" s="15"/>
      <c r="D116" s="29"/>
      <c r="E116" s="17"/>
      <c r="G116" s="18"/>
      <c r="H116" s="18"/>
      <c r="J116" s="18"/>
      <c r="M116" s="18"/>
      <c r="X116" s="20"/>
      <c r="AD116" s="18"/>
      <c r="AE116" s="18"/>
      <c r="AL116" s="18"/>
      <c r="AM116" s="18"/>
      <c r="AN116" s="18"/>
      <c r="AO116" s="18"/>
      <c r="AP116" s="18"/>
      <c r="AQ116" s="18"/>
      <c r="AR116" s="18"/>
      <c r="AT116" s="18"/>
      <c r="AY116" s="18"/>
      <c r="BA116" s="5"/>
      <c r="BB116" s="5"/>
      <c r="BI116" s="17"/>
      <c r="BK116" s="18"/>
      <c r="BL116" s="18"/>
      <c r="BM116" s="18"/>
      <c r="BR116" s="18"/>
      <c r="BU116" s="20"/>
      <c r="BV116" s="22"/>
      <c r="BW116" s="18"/>
      <c r="BX116" s="18"/>
      <c r="BY116" s="18"/>
      <c r="BZ116" s="18"/>
      <c r="CA116" s="22"/>
      <c r="CB116" s="22"/>
      <c r="CC116" s="22"/>
      <c r="CD116" s="22"/>
      <c r="CE116" s="22"/>
      <c r="CF116" s="22"/>
      <c r="CG116" s="22"/>
      <c r="CH116" s="22"/>
      <c r="CI116" s="23"/>
      <c r="CJ116" s="23"/>
      <c r="CK116" s="23"/>
      <c r="CL116" s="23"/>
      <c r="CM116" s="23"/>
      <c r="CN116" s="23"/>
      <c r="CO116" s="18"/>
      <c r="CP116" s="18"/>
      <c r="CQ116" s="18"/>
      <c r="CR116" s="18"/>
      <c r="CS116" s="18"/>
      <c r="CT116" s="18"/>
      <c r="CV116" s="18"/>
      <c r="DH116" s="18"/>
      <c r="DI116" s="18"/>
      <c r="DJ116" s="18"/>
      <c r="DN116" s="18"/>
      <c r="DO116" s="18"/>
      <c r="DQ116" s="18"/>
      <c r="DR116" s="18"/>
      <c r="DY116" s="18"/>
      <c r="DZ116" s="18"/>
      <c r="EA116" s="18"/>
      <c r="EB116" s="18"/>
      <c r="EC116" s="18"/>
      <c r="ED116" s="17"/>
      <c r="EE116" s="18"/>
      <c r="EF116" s="18"/>
      <c r="EG116" s="18"/>
      <c r="EH116" s="18"/>
      <c r="EI116" s="18"/>
      <c r="EJ116" s="18"/>
      <c r="EL116" s="18"/>
      <c r="EM116" s="18"/>
      <c r="EN116" s="22"/>
      <c r="EO116" s="22"/>
      <c r="EP116" s="18"/>
      <c r="EQ116" s="18"/>
      <c r="ER116" s="18"/>
      <c r="ES116" s="18"/>
      <c r="ET116" s="22"/>
      <c r="EU116" s="22"/>
      <c r="EV116" s="22"/>
      <c r="EW116" s="22"/>
      <c r="EX116" s="22"/>
      <c r="EY116" s="22"/>
      <c r="EZ116" s="22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7"/>
      <c r="FT116" s="18"/>
      <c r="FU116" s="18"/>
      <c r="FV116" s="18"/>
      <c r="FW116" s="18"/>
      <c r="FX116" s="18"/>
      <c r="FY116" s="18"/>
      <c r="FZ116" s="18"/>
      <c r="GA116" s="18"/>
      <c r="GB116" s="22"/>
      <c r="GC116" s="22"/>
      <c r="GD116" s="22"/>
      <c r="GE116" s="18"/>
      <c r="GF116" s="18"/>
      <c r="GG116" s="17"/>
      <c r="GH116" s="17"/>
      <c r="GI116" s="17"/>
    </row>
    <row r="117" spans="3:192" ht="18" customHeight="1" x14ac:dyDescent="0.4">
      <c r="C117" s="15"/>
      <c r="D117" s="29"/>
      <c r="E117" s="17"/>
      <c r="G117" s="18"/>
      <c r="H117" s="18"/>
      <c r="J117" s="18"/>
      <c r="M117" s="18"/>
      <c r="X117" s="20"/>
      <c r="AD117" s="18"/>
      <c r="AE117" s="18"/>
      <c r="AL117" s="18"/>
      <c r="AM117" s="18"/>
      <c r="AN117" s="18"/>
      <c r="AO117" s="18"/>
      <c r="AP117" s="18"/>
      <c r="AQ117" s="18"/>
      <c r="AR117" s="18"/>
      <c r="AT117" s="18"/>
      <c r="AY117" s="18"/>
      <c r="BA117" s="5"/>
      <c r="BB117" s="5"/>
      <c r="BI117" s="17"/>
      <c r="BK117" s="18"/>
      <c r="BL117" s="18"/>
      <c r="BM117" s="18"/>
      <c r="BR117" s="18"/>
      <c r="BU117" s="20"/>
      <c r="BV117" s="22"/>
      <c r="BW117" s="18"/>
      <c r="BX117" s="18"/>
      <c r="BY117" s="18"/>
      <c r="BZ117" s="18"/>
      <c r="CA117" s="22"/>
      <c r="CB117" s="22"/>
      <c r="CC117" s="22"/>
      <c r="CD117" s="22"/>
      <c r="CE117" s="22"/>
      <c r="CF117" s="22"/>
      <c r="CG117" s="22"/>
      <c r="CH117" s="22"/>
      <c r="CI117" s="23"/>
      <c r="CJ117" s="23"/>
      <c r="CK117" s="23"/>
      <c r="CL117" s="23"/>
      <c r="CM117" s="23"/>
      <c r="CN117" s="23"/>
      <c r="CO117" s="18"/>
      <c r="CP117" s="18"/>
      <c r="CQ117" s="18"/>
      <c r="CR117" s="18"/>
      <c r="CS117" s="18"/>
      <c r="CT117" s="18"/>
      <c r="CV117" s="18"/>
      <c r="DH117" s="18"/>
      <c r="DI117" s="18"/>
      <c r="DJ117" s="18"/>
      <c r="DN117" s="18"/>
      <c r="DO117" s="18"/>
      <c r="DQ117" s="18"/>
      <c r="DR117" s="18"/>
      <c r="DY117" s="18"/>
      <c r="DZ117" s="18"/>
      <c r="EA117" s="18"/>
      <c r="EB117" s="18"/>
      <c r="EC117" s="18"/>
      <c r="ED117" s="17"/>
      <c r="EE117" s="18"/>
      <c r="EF117" s="18"/>
      <c r="EG117" s="18"/>
      <c r="EH117" s="18"/>
      <c r="EI117" s="18"/>
      <c r="EJ117" s="18"/>
      <c r="EL117" s="18"/>
      <c r="EM117" s="18"/>
      <c r="EN117" s="22"/>
      <c r="EO117" s="22"/>
      <c r="EP117" s="18"/>
      <c r="EQ117" s="18"/>
      <c r="ER117" s="18"/>
      <c r="ES117" s="18"/>
      <c r="ET117" s="22"/>
      <c r="EU117" s="22"/>
      <c r="EV117" s="22"/>
      <c r="EW117" s="22"/>
      <c r="EX117" s="22"/>
      <c r="EY117" s="22"/>
      <c r="EZ117" s="22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7"/>
      <c r="FT117" s="18"/>
      <c r="FU117" s="18"/>
      <c r="FV117" s="18"/>
      <c r="FW117" s="18"/>
      <c r="FX117" s="18"/>
      <c r="FY117" s="18"/>
      <c r="FZ117" s="18"/>
      <c r="GA117" s="18"/>
      <c r="GB117" s="22"/>
      <c r="GC117" s="22"/>
      <c r="GD117" s="22"/>
      <c r="GE117" s="18"/>
      <c r="GF117" s="18"/>
      <c r="GG117" s="17"/>
      <c r="GH117" s="17"/>
      <c r="GI117" s="17"/>
    </row>
    <row r="118" spans="3:192" ht="18" customHeight="1" x14ac:dyDescent="0.4">
      <c r="C118" s="15"/>
      <c r="D118" s="29"/>
      <c r="E118" s="17"/>
      <c r="G118" s="18"/>
      <c r="H118" s="18"/>
      <c r="J118" s="18"/>
      <c r="M118" s="18"/>
      <c r="X118" s="20"/>
      <c r="AD118" s="18"/>
      <c r="AE118" s="18"/>
      <c r="AL118" s="18"/>
      <c r="AM118" s="18"/>
      <c r="AN118" s="18"/>
      <c r="AO118" s="18"/>
      <c r="AP118" s="18"/>
      <c r="AQ118" s="18"/>
      <c r="AR118" s="18"/>
      <c r="AT118" s="18"/>
      <c r="AY118" s="18"/>
      <c r="BA118" s="5"/>
      <c r="BB118" s="5"/>
      <c r="BI118" s="17"/>
      <c r="BK118" s="18"/>
      <c r="BL118" s="18"/>
      <c r="BM118" s="18"/>
      <c r="BR118" s="18"/>
      <c r="BU118" s="20"/>
      <c r="BV118" s="22"/>
      <c r="BW118" s="18"/>
      <c r="BX118" s="18"/>
      <c r="BY118" s="18"/>
      <c r="BZ118" s="18"/>
      <c r="CA118" s="22"/>
      <c r="CB118" s="22"/>
      <c r="CC118" s="22"/>
      <c r="CD118" s="22"/>
      <c r="CE118" s="22"/>
      <c r="CF118" s="22"/>
      <c r="CG118" s="22"/>
      <c r="CH118" s="22"/>
      <c r="CI118" s="23"/>
      <c r="CJ118" s="23"/>
      <c r="CK118" s="23"/>
      <c r="CL118" s="23"/>
      <c r="CM118" s="23"/>
      <c r="CN118" s="23"/>
      <c r="CO118" s="18"/>
      <c r="CP118" s="18"/>
      <c r="CQ118" s="18"/>
      <c r="CR118" s="18"/>
      <c r="CS118" s="18"/>
      <c r="CT118" s="18"/>
      <c r="CV118" s="18"/>
      <c r="DH118" s="18"/>
      <c r="DI118" s="18"/>
      <c r="DJ118" s="18"/>
      <c r="DN118" s="18"/>
      <c r="DO118" s="18"/>
      <c r="DQ118" s="18"/>
      <c r="DR118" s="18"/>
      <c r="DY118" s="18"/>
      <c r="DZ118" s="18"/>
      <c r="EA118" s="18"/>
      <c r="EB118" s="18"/>
      <c r="EC118" s="18"/>
      <c r="ED118" s="17"/>
      <c r="EE118" s="18"/>
      <c r="EF118" s="18"/>
      <c r="EG118" s="18"/>
      <c r="EH118" s="18"/>
      <c r="EI118" s="18"/>
      <c r="EJ118" s="18"/>
      <c r="EL118" s="18"/>
      <c r="EM118" s="18"/>
      <c r="EN118" s="22"/>
      <c r="EO118" s="22"/>
      <c r="EP118" s="18"/>
      <c r="EQ118" s="18"/>
      <c r="ER118" s="18"/>
      <c r="ES118" s="18"/>
      <c r="ET118" s="22"/>
      <c r="EU118" s="22"/>
      <c r="EV118" s="22"/>
      <c r="EW118" s="22"/>
      <c r="EX118" s="22"/>
      <c r="EY118" s="22"/>
      <c r="EZ118" s="22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7"/>
      <c r="FT118" s="18"/>
      <c r="FU118" s="18"/>
      <c r="FV118" s="18"/>
      <c r="FW118" s="18"/>
      <c r="FX118" s="18"/>
      <c r="FY118" s="18"/>
      <c r="FZ118" s="18"/>
      <c r="GA118" s="18"/>
      <c r="GB118" s="22"/>
      <c r="GC118" s="22"/>
      <c r="GD118" s="22"/>
      <c r="GE118" s="18"/>
      <c r="GF118" s="18"/>
      <c r="GG118" s="17"/>
      <c r="GH118" s="17"/>
      <c r="GI118" s="17"/>
    </row>
    <row r="119" spans="3:192" ht="18" customHeight="1" x14ac:dyDescent="0.4">
      <c r="C119" s="15"/>
      <c r="D119" s="29"/>
      <c r="E119" s="17"/>
      <c r="G119" s="18"/>
      <c r="H119" s="18"/>
      <c r="J119" s="18"/>
      <c r="M119" s="18"/>
      <c r="X119" s="20"/>
      <c r="AD119" s="18"/>
      <c r="AE119" s="18"/>
      <c r="AL119" s="18"/>
      <c r="AM119" s="18"/>
      <c r="AN119" s="18"/>
      <c r="AO119" s="18"/>
      <c r="AP119" s="18"/>
      <c r="AQ119" s="18"/>
      <c r="AR119" s="18"/>
      <c r="AT119" s="18"/>
      <c r="AY119" s="18"/>
      <c r="BA119" s="5"/>
      <c r="BB119" s="5"/>
      <c r="BI119" s="17"/>
      <c r="BK119" s="18"/>
      <c r="BL119" s="18"/>
      <c r="BM119" s="18"/>
      <c r="BR119" s="18"/>
      <c r="BU119" s="20"/>
      <c r="BV119" s="22"/>
      <c r="BW119" s="18"/>
      <c r="BX119" s="18"/>
      <c r="BY119" s="18"/>
      <c r="BZ119" s="18"/>
      <c r="CA119" s="22"/>
      <c r="CB119" s="22"/>
      <c r="CC119" s="22"/>
      <c r="CD119" s="22"/>
      <c r="CE119" s="22"/>
      <c r="CF119" s="22"/>
      <c r="CG119" s="22"/>
      <c r="CH119" s="22"/>
      <c r="CI119" s="23"/>
      <c r="CJ119" s="23"/>
      <c r="CK119" s="23"/>
      <c r="CL119" s="23"/>
      <c r="CM119" s="23"/>
      <c r="CN119" s="23"/>
      <c r="CO119" s="18"/>
      <c r="CP119" s="18"/>
      <c r="CQ119" s="18"/>
      <c r="CR119" s="18"/>
      <c r="CS119" s="18"/>
      <c r="CT119" s="18"/>
      <c r="CV119" s="18"/>
      <c r="DH119" s="18"/>
      <c r="DI119" s="18"/>
      <c r="DJ119" s="18"/>
      <c r="DN119" s="18"/>
      <c r="DO119" s="18"/>
      <c r="DQ119" s="18"/>
      <c r="DR119" s="18"/>
      <c r="DY119" s="18"/>
      <c r="DZ119" s="18"/>
      <c r="EA119" s="18"/>
      <c r="EB119" s="18"/>
      <c r="EC119" s="18"/>
      <c r="ED119" s="17"/>
      <c r="EE119" s="18"/>
      <c r="EF119" s="18"/>
      <c r="EG119" s="18"/>
      <c r="EH119" s="18"/>
      <c r="EI119" s="18"/>
      <c r="EJ119" s="18"/>
      <c r="EL119" s="18"/>
      <c r="EM119" s="18"/>
      <c r="EN119" s="22"/>
      <c r="EO119" s="22"/>
      <c r="EP119" s="18"/>
      <c r="EQ119" s="18"/>
      <c r="ER119" s="18"/>
      <c r="ES119" s="18"/>
      <c r="ET119" s="22"/>
      <c r="EU119" s="22"/>
      <c r="EV119" s="22"/>
      <c r="EW119" s="22"/>
      <c r="EX119" s="22"/>
      <c r="EY119" s="22"/>
      <c r="EZ119" s="22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7"/>
      <c r="FT119" s="18"/>
      <c r="FU119" s="18"/>
      <c r="FV119" s="18"/>
      <c r="FW119" s="18"/>
      <c r="FX119" s="18"/>
      <c r="FY119" s="18"/>
      <c r="FZ119" s="18"/>
      <c r="GA119" s="18"/>
      <c r="GB119" s="22"/>
      <c r="GC119" s="22"/>
      <c r="GD119" s="22"/>
      <c r="GE119" s="18"/>
      <c r="GF119" s="18"/>
      <c r="GG119" s="17"/>
      <c r="GH119" s="17"/>
      <c r="GI119" s="17"/>
    </row>
    <row r="120" spans="3:192" ht="18" customHeight="1" x14ac:dyDescent="0.4">
      <c r="C120" s="15"/>
      <c r="D120" s="29"/>
      <c r="E120" s="17"/>
      <c r="G120" s="18"/>
      <c r="H120" s="18"/>
      <c r="J120" s="18"/>
      <c r="M120" s="18"/>
      <c r="X120" s="20"/>
      <c r="AD120" s="18"/>
      <c r="AE120" s="18"/>
      <c r="AL120" s="18"/>
      <c r="AM120" s="18"/>
      <c r="AN120" s="18"/>
      <c r="AO120" s="18"/>
      <c r="AP120" s="18"/>
      <c r="AQ120" s="18"/>
      <c r="AR120" s="18"/>
      <c r="AT120" s="18"/>
      <c r="AY120" s="18"/>
      <c r="BA120" s="5"/>
      <c r="BB120" s="5"/>
      <c r="BI120" s="17"/>
      <c r="BK120" s="18"/>
      <c r="BL120" s="18"/>
      <c r="BM120" s="18"/>
      <c r="BR120" s="18"/>
      <c r="BU120" s="20"/>
      <c r="BV120" s="22"/>
      <c r="BW120" s="18"/>
      <c r="BX120" s="18"/>
      <c r="BY120" s="18"/>
      <c r="BZ120" s="18"/>
      <c r="CA120" s="22"/>
      <c r="CB120" s="22"/>
      <c r="CC120" s="22"/>
      <c r="CD120" s="22"/>
      <c r="CE120" s="22"/>
      <c r="CF120" s="22"/>
      <c r="CG120" s="22"/>
      <c r="CH120" s="22"/>
      <c r="CI120" s="23"/>
      <c r="CJ120" s="23"/>
      <c r="CK120" s="23"/>
      <c r="CL120" s="23"/>
      <c r="CM120" s="23"/>
      <c r="CN120" s="23"/>
      <c r="CO120" s="18"/>
      <c r="CP120" s="18"/>
      <c r="CQ120" s="18"/>
      <c r="CR120" s="18"/>
      <c r="CS120" s="18"/>
      <c r="CT120" s="18"/>
      <c r="CV120" s="18"/>
      <c r="DH120" s="18"/>
      <c r="DI120" s="18"/>
      <c r="DJ120" s="18"/>
      <c r="DN120" s="18"/>
      <c r="DO120" s="18"/>
      <c r="DQ120" s="18"/>
      <c r="DR120" s="18"/>
      <c r="DY120" s="18"/>
      <c r="DZ120" s="18"/>
      <c r="EA120" s="18"/>
      <c r="EB120" s="18"/>
      <c r="EC120" s="18"/>
      <c r="ED120" s="17"/>
      <c r="EE120" s="18"/>
      <c r="EF120" s="18"/>
      <c r="EG120" s="18"/>
      <c r="EH120" s="18"/>
      <c r="EI120" s="18"/>
      <c r="EJ120" s="18"/>
      <c r="EL120" s="18"/>
      <c r="EM120" s="18"/>
      <c r="EN120" s="22"/>
      <c r="EO120" s="22"/>
      <c r="EP120" s="18"/>
      <c r="EQ120" s="18"/>
      <c r="ER120" s="18"/>
      <c r="ES120" s="18"/>
      <c r="ET120" s="22"/>
      <c r="EU120" s="22"/>
      <c r="EV120" s="22"/>
      <c r="EW120" s="22"/>
      <c r="EX120" s="22"/>
      <c r="EY120" s="22"/>
      <c r="EZ120" s="22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7"/>
      <c r="FT120" s="18"/>
      <c r="FU120" s="18"/>
      <c r="FV120" s="18"/>
      <c r="FW120" s="18"/>
      <c r="FX120" s="18"/>
      <c r="FY120" s="18"/>
      <c r="FZ120" s="18"/>
      <c r="GA120" s="18"/>
      <c r="GB120" s="22"/>
      <c r="GC120" s="22"/>
      <c r="GD120" s="22"/>
      <c r="GE120" s="18"/>
      <c r="GF120" s="18"/>
      <c r="GG120" s="17"/>
      <c r="GH120" s="17"/>
      <c r="GI120" s="17"/>
    </row>
    <row r="121" spans="3:192" ht="18" customHeight="1" x14ac:dyDescent="0.4">
      <c r="C121" s="15"/>
      <c r="D121" s="29"/>
      <c r="E121" s="17"/>
      <c r="G121" s="18"/>
      <c r="H121" s="18"/>
      <c r="J121" s="18"/>
      <c r="M121" s="18"/>
      <c r="X121" s="20"/>
      <c r="AD121" s="18"/>
      <c r="AE121" s="18"/>
      <c r="AL121" s="18"/>
      <c r="AM121" s="18"/>
      <c r="AN121" s="18"/>
      <c r="AO121" s="18"/>
      <c r="AP121" s="18"/>
      <c r="AQ121" s="18"/>
      <c r="AR121" s="18"/>
      <c r="AT121" s="18"/>
      <c r="AY121" s="18"/>
      <c r="BA121" s="5"/>
      <c r="BB121" s="5"/>
      <c r="BI121" s="17"/>
      <c r="BK121" s="18"/>
      <c r="BL121" s="18"/>
      <c r="BM121" s="18"/>
      <c r="BR121" s="18"/>
      <c r="BU121" s="20"/>
      <c r="BV121" s="22"/>
      <c r="BW121" s="18"/>
      <c r="BX121" s="18"/>
      <c r="BY121" s="18"/>
      <c r="BZ121" s="18"/>
      <c r="CA121" s="22"/>
      <c r="CB121" s="22"/>
      <c r="CC121" s="22"/>
      <c r="CD121" s="22"/>
      <c r="CE121" s="22"/>
      <c r="CF121" s="22"/>
      <c r="CG121" s="22"/>
      <c r="CH121" s="22"/>
      <c r="CI121" s="23"/>
      <c r="CJ121" s="23"/>
      <c r="CK121" s="23"/>
      <c r="CL121" s="23"/>
      <c r="CM121" s="23"/>
      <c r="CN121" s="23"/>
      <c r="CO121" s="18"/>
      <c r="CP121" s="18"/>
      <c r="CQ121" s="18"/>
      <c r="CR121" s="18"/>
      <c r="CS121" s="18"/>
      <c r="CT121" s="18"/>
      <c r="CV121" s="18"/>
      <c r="DH121" s="18"/>
      <c r="DI121" s="18"/>
      <c r="DJ121" s="18"/>
      <c r="DN121" s="18"/>
      <c r="DO121" s="18"/>
      <c r="DQ121" s="18"/>
      <c r="DR121" s="18"/>
      <c r="DY121" s="18"/>
      <c r="DZ121" s="18"/>
      <c r="EA121" s="18"/>
      <c r="EB121" s="18"/>
      <c r="EC121" s="18"/>
      <c r="ED121" s="17"/>
      <c r="EE121" s="18"/>
      <c r="EF121" s="18"/>
      <c r="EG121" s="18"/>
      <c r="EH121" s="18"/>
      <c r="EI121" s="18"/>
      <c r="EJ121" s="18"/>
      <c r="EL121" s="18"/>
      <c r="EM121" s="18"/>
      <c r="EN121" s="22"/>
      <c r="EO121" s="22"/>
      <c r="EP121" s="18"/>
      <c r="EQ121" s="18"/>
      <c r="ER121" s="18"/>
      <c r="ES121" s="18"/>
      <c r="ET121" s="22"/>
      <c r="EU121" s="22"/>
      <c r="EV121" s="22"/>
      <c r="EW121" s="22"/>
      <c r="EX121" s="22"/>
      <c r="EY121" s="22"/>
      <c r="EZ121" s="22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7"/>
      <c r="FT121" s="18"/>
      <c r="FU121" s="18"/>
      <c r="FV121" s="18"/>
      <c r="FW121" s="18"/>
      <c r="FX121" s="18"/>
      <c r="FY121" s="18"/>
      <c r="FZ121" s="18"/>
      <c r="GA121" s="18"/>
      <c r="GB121" s="22"/>
      <c r="GC121" s="22"/>
      <c r="GD121" s="22"/>
      <c r="GE121" s="18"/>
      <c r="GF121" s="18"/>
      <c r="GG121" s="17"/>
      <c r="GH121" s="17"/>
      <c r="GI121" s="17"/>
    </row>
    <row r="122" spans="3:192" ht="18" customHeight="1" x14ac:dyDescent="0.4">
      <c r="C122" s="15"/>
      <c r="D122" s="29"/>
      <c r="E122" s="17"/>
      <c r="G122" s="18"/>
      <c r="H122" s="18"/>
      <c r="J122" s="18"/>
      <c r="M122" s="18"/>
      <c r="X122" s="20"/>
      <c r="AD122" s="18"/>
      <c r="AE122" s="18"/>
      <c r="AL122" s="18"/>
      <c r="AM122" s="18"/>
      <c r="AN122" s="18"/>
      <c r="AO122" s="18"/>
      <c r="AP122" s="18"/>
      <c r="AQ122" s="18"/>
      <c r="AR122" s="18"/>
      <c r="AT122" s="18"/>
      <c r="AY122" s="18"/>
      <c r="BI122" s="17"/>
      <c r="BK122" s="18"/>
      <c r="BL122" s="18"/>
      <c r="BM122" s="18"/>
      <c r="BR122" s="18"/>
      <c r="BU122" s="20"/>
      <c r="BV122" s="22"/>
      <c r="BW122" s="18"/>
      <c r="BX122" s="18"/>
      <c r="BY122" s="18"/>
      <c r="BZ122" s="18"/>
      <c r="CA122" s="22"/>
      <c r="CB122" s="22"/>
      <c r="CC122" s="22"/>
      <c r="CD122" s="22"/>
      <c r="CE122" s="22"/>
      <c r="CF122" s="22"/>
      <c r="CG122" s="22"/>
      <c r="CH122" s="22"/>
      <c r="CI122" s="23"/>
      <c r="CJ122" s="23"/>
      <c r="CK122" s="23"/>
      <c r="CL122" s="23"/>
      <c r="CM122" s="23"/>
      <c r="CN122" s="23"/>
      <c r="CO122" s="18"/>
      <c r="CP122" s="18"/>
      <c r="CQ122" s="18"/>
      <c r="CR122" s="18"/>
      <c r="CS122" s="18"/>
      <c r="CT122" s="18"/>
      <c r="CV122" s="18"/>
      <c r="DH122" s="18"/>
      <c r="DI122" s="18"/>
      <c r="DJ122" s="18"/>
      <c r="DN122" s="18"/>
      <c r="DO122" s="18"/>
      <c r="DQ122" s="18"/>
      <c r="DR122" s="18"/>
      <c r="DY122" s="18"/>
      <c r="DZ122" s="18"/>
      <c r="EA122" s="18"/>
      <c r="EB122" s="18"/>
      <c r="EC122" s="18"/>
      <c r="ED122" s="17"/>
      <c r="EE122" s="18"/>
      <c r="EF122" s="18"/>
      <c r="EG122" s="18"/>
      <c r="EH122" s="18"/>
      <c r="EI122" s="18"/>
      <c r="EJ122" s="18"/>
      <c r="EL122" s="18"/>
      <c r="EM122" s="18"/>
      <c r="EN122" s="22"/>
      <c r="EO122" s="22"/>
      <c r="EP122" s="18"/>
      <c r="EQ122" s="18"/>
      <c r="ER122" s="18"/>
      <c r="ES122" s="18"/>
      <c r="ET122" s="22"/>
      <c r="EU122" s="22"/>
      <c r="EV122" s="22"/>
      <c r="EW122" s="22"/>
      <c r="EX122" s="22"/>
      <c r="EY122" s="22"/>
      <c r="EZ122" s="22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7"/>
      <c r="FT122" s="18"/>
      <c r="FU122" s="18"/>
      <c r="FV122" s="18"/>
      <c r="FW122" s="18"/>
      <c r="FX122" s="18"/>
      <c r="FY122" s="18"/>
      <c r="FZ122" s="18"/>
      <c r="GA122" s="18"/>
      <c r="GB122" s="22"/>
      <c r="GC122" s="22"/>
      <c r="GD122" s="22"/>
      <c r="GE122" s="18"/>
      <c r="GF122" s="18"/>
      <c r="GG122" s="17"/>
      <c r="GH122" s="17"/>
      <c r="GI122" s="17"/>
    </row>
    <row r="123" spans="3:192" ht="18" customHeight="1" x14ac:dyDescent="0.4">
      <c r="C123" s="15"/>
      <c r="D123" s="29"/>
      <c r="E123" s="17"/>
      <c r="G123" s="18"/>
      <c r="H123" s="18"/>
      <c r="J123" s="18"/>
      <c r="M123" s="18"/>
      <c r="X123" s="20"/>
      <c r="AD123" s="18"/>
      <c r="AE123" s="18"/>
      <c r="AL123" s="18"/>
      <c r="AM123" s="18"/>
      <c r="AN123" s="18"/>
      <c r="AO123" s="18"/>
      <c r="AP123" s="18"/>
      <c r="AQ123" s="18"/>
      <c r="AR123" s="18"/>
      <c r="AT123" s="18"/>
      <c r="AY123" s="18"/>
      <c r="BA123" s="5"/>
      <c r="BB123" s="5"/>
      <c r="BI123" s="17"/>
      <c r="BK123" s="18"/>
      <c r="BL123" s="18"/>
      <c r="BM123" s="18"/>
      <c r="BR123" s="18"/>
      <c r="BU123" s="20"/>
      <c r="BV123" s="22"/>
      <c r="BW123" s="18"/>
      <c r="BX123" s="18"/>
      <c r="BY123" s="18"/>
      <c r="BZ123" s="18"/>
      <c r="CA123" s="22"/>
      <c r="CB123" s="22"/>
      <c r="CC123" s="22"/>
      <c r="CD123" s="22"/>
      <c r="CE123" s="22"/>
      <c r="CF123" s="22"/>
      <c r="CG123" s="22"/>
      <c r="CH123" s="22"/>
      <c r="CI123" s="23"/>
      <c r="CJ123" s="23"/>
      <c r="CK123" s="23"/>
      <c r="CL123" s="23"/>
      <c r="CM123" s="23"/>
      <c r="CN123" s="23"/>
      <c r="CO123" s="18"/>
      <c r="CP123" s="18"/>
      <c r="CQ123" s="18"/>
      <c r="CR123" s="18"/>
      <c r="CS123" s="18"/>
      <c r="CT123" s="18"/>
      <c r="CV123" s="18"/>
      <c r="DH123" s="18"/>
      <c r="DI123" s="18"/>
      <c r="DJ123" s="18"/>
      <c r="DN123" s="18"/>
      <c r="DO123" s="18"/>
      <c r="DQ123" s="18"/>
      <c r="DR123" s="18"/>
      <c r="DY123" s="18"/>
      <c r="DZ123" s="18"/>
      <c r="EA123" s="18"/>
      <c r="EB123" s="18"/>
      <c r="EC123" s="18"/>
      <c r="ED123" s="17"/>
      <c r="EE123" s="18"/>
      <c r="EF123" s="18"/>
      <c r="EG123" s="18"/>
      <c r="EH123" s="18"/>
      <c r="EI123" s="18"/>
      <c r="EJ123" s="18"/>
      <c r="EL123" s="18"/>
      <c r="EM123" s="18"/>
      <c r="EN123" s="22"/>
      <c r="EO123" s="22"/>
      <c r="EP123" s="18"/>
      <c r="EQ123" s="18"/>
      <c r="ER123" s="18"/>
      <c r="ES123" s="18"/>
      <c r="ET123" s="22"/>
      <c r="EU123" s="22"/>
      <c r="EV123" s="22"/>
      <c r="EW123" s="22"/>
      <c r="EX123" s="22"/>
      <c r="EY123" s="22"/>
      <c r="EZ123" s="22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7"/>
      <c r="FT123" s="18"/>
      <c r="FU123" s="18"/>
      <c r="FV123" s="18"/>
      <c r="FW123" s="18"/>
      <c r="FX123" s="18"/>
      <c r="FY123" s="18"/>
      <c r="FZ123" s="18"/>
      <c r="GA123" s="18"/>
      <c r="GB123" s="22"/>
      <c r="GC123" s="22"/>
      <c r="GD123" s="22"/>
      <c r="GE123" s="18"/>
      <c r="GF123" s="18"/>
      <c r="GG123" s="17"/>
      <c r="GH123" s="17"/>
      <c r="GI123" s="17"/>
    </row>
    <row r="124" spans="3:192" ht="18" customHeight="1" x14ac:dyDescent="0.4">
      <c r="C124" s="15"/>
      <c r="D124" s="29"/>
      <c r="E124" s="17"/>
      <c r="G124" s="18"/>
      <c r="H124" s="18"/>
      <c r="J124" s="18"/>
      <c r="M124" s="18"/>
      <c r="X124" s="20"/>
      <c r="AD124" s="18"/>
      <c r="AE124" s="18"/>
      <c r="AL124" s="18"/>
      <c r="AM124" s="18"/>
      <c r="AN124" s="18"/>
      <c r="AO124" s="18"/>
      <c r="AP124" s="18"/>
      <c r="AQ124" s="18"/>
      <c r="AR124" s="18"/>
      <c r="AT124" s="18"/>
      <c r="AY124" s="18"/>
      <c r="BA124" s="5"/>
      <c r="BB124" s="5"/>
      <c r="BI124" s="17"/>
      <c r="BK124" s="18"/>
      <c r="BL124" s="18"/>
      <c r="BM124" s="18"/>
      <c r="BR124" s="18"/>
      <c r="BU124" s="20"/>
      <c r="BV124" s="22"/>
      <c r="BW124" s="18"/>
      <c r="BX124" s="18"/>
      <c r="BY124" s="18"/>
      <c r="BZ124" s="18"/>
      <c r="CA124" s="22"/>
      <c r="CB124" s="22"/>
      <c r="CC124" s="22"/>
      <c r="CD124" s="22"/>
      <c r="CE124" s="22"/>
      <c r="CF124" s="22"/>
      <c r="CG124" s="22"/>
      <c r="CH124" s="22"/>
      <c r="CI124" s="23"/>
      <c r="CJ124" s="23"/>
      <c r="CK124" s="23"/>
      <c r="CL124" s="23"/>
      <c r="CM124" s="23"/>
      <c r="CN124" s="23"/>
      <c r="CO124" s="18"/>
      <c r="CP124" s="18"/>
      <c r="CQ124" s="18"/>
      <c r="CR124" s="18"/>
      <c r="CS124" s="18"/>
      <c r="CT124" s="18"/>
      <c r="CV124" s="18"/>
      <c r="DH124" s="18"/>
      <c r="DI124" s="18"/>
      <c r="DJ124" s="18"/>
      <c r="DN124" s="18"/>
      <c r="DO124" s="18"/>
      <c r="DQ124" s="18"/>
      <c r="DR124" s="18"/>
      <c r="DY124" s="18"/>
      <c r="DZ124" s="18"/>
      <c r="EA124" s="18"/>
      <c r="EB124" s="18"/>
      <c r="EC124" s="18"/>
      <c r="ED124" s="17"/>
      <c r="EE124" s="18"/>
      <c r="EF124" s="18"/>
      <c r="EG124" s="18"/>
      <c r="EH124" s="18"/>
      <c r="EI124" s="18"/>
      <c r="EJ124" s="18"/>
      <c r="EL124" s="18"/>
      <c r="EM124" s="18"/>
      <c r="EN124" s="22"/>
      <c r="EO124" s="22"/>
      <c r="EP124" s="18"/>
      <c r="EQ124" s="18"/>
      <c r="ER124" s="18"/>
      <c r="ES124" s="18"/>
      <c r="ET124" s="22"/>
      <c r="EU124" s="22"/>
      <c r="EV124" s="22"/>
      <c r="EW124" s="22"/>
      <c r="EX124" s="22"/>
      <c r="EY124" s="22"/>
      <c r="EZ124" s="22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7"/>
      <c r="FT124" s="18"/>
      <c r="FU124" s="18"/>
      <c r="FV124" s="18"/>
      <c r="FW124" s="18"/>
      <c r="FX124" s="18"/>
      <c r="FY124" s="18"/>
      <c r="FZ124" s="18"/>
      <c r="GA124" s="18"/>
      <c r="GB124" s="22"/>
      <c r="GC124" s="22"/>
      <c r="GD124" s="22"/>
      <c r="GE124" s="18"/>
      <c r="GF124" s="18"/>
      <c r="GG124" s="17"/>
      <c r="GH124" s="17"/>
      <c r="GI124" s="17"/>
    </row>
    <row r="125" spans="3:192" ht="18" customHeight="1" x14ac:dyDescent="0.4">
      <c r="C125" s="15"/>
      <c r="D125" s="29"/>
      <c r="E125" s="17"/>
      <c r="G125" s="18"/>
      <c r="H125" s="18"/>
      <c r="J125" s="18"/>
      <c r="M125" s="18"/>
      <c r="X125" s="20"/>
      <c r="AD125" s="18"/>
      <c r="AE125" s="18"/>
      <c r="AL125" s="18"/>
      <c r="AM125" s="18"/>
      <c r="AN125" s="18"/>
      <c r="AO125" s="18"/>
      <c r="AP125" s="18"/>
      <c r="AQ125" s="18"/>
      <c r="AR125" s="18"/>
      <c r="AT125" s="18"/>
      <c r="AY125" s="18"/>
      <c r="BA125" s="5"/>
      <c r="BB125" s="5"/>
      <c r="BI125" s="17"/>
      <c r="BK125" s="18"/>
      <c r="BL125" s="18"/>
      <c r="BM125" s="18"/>
      <c r="BR125" s="18"/>
      <c r="BU125" s="20"/>
      <c r="BV125" s="22"/>
      <c r="BW125" s="18"/>
      <c r="BX125" s="18"/>
      <c r="BY125" s="18"/>
      <c r="BZ125" s="18"/>
      <c r="CA125" s="22"/>
      <c r="CB125" s="22"/>
      <c r="CC125" s="22"/>
      <c r="CD125" s="22"/>
      <c r="CE125" s="22"/>
      <c r="CF125" s="22"/>
      <c r="CG125" s="22"/>
      <c r="CH125" s="22"/>
      <c r="CI125" s="23"/>
      <c r="CJ125" s="23"/>
      <c r="CK125" s="23"/>
      <c r="CL125" s="23"/>
      <c r="CM125" s="23"/>
      <c r="CN125" s="23"/>
      <c r="CO125" s="18"/>
      <c r="CP125" s="18"/>
      <c r="CQ125" s="18"/>
      <c r="CR125" s="18"/>
      <c r="CS125" s="18"/>
      <c r="CT125" s="18"/>
      <c r="CV125" s="18"/>
      <c r="DH125" s="18"/>
      <c r="DI125" s="18"/>
      <c r="DJ125" s="18"/>
      <c r="DN125" s="18"/>
      <c r="DO125" s="18"/>
      <c r="DQ125" s="18"/>
      <c r="DR125" s="18"/>
      <c r="DY125" s="18"/>
      <c r="DZ125" s="18"/>
      <c r="EA125" s="18"/>
      <c r="EB125" s="18"/>
      <c r="EC125" s="18"/>
      <c r="ED125" s="17"/>
      <c r="EE125" s="18"/>
      <c r="EF125" s="18"/>
      <c r="EG125" s="18"/>
      <c r="EH125" s="18"/>
      <c r="EI125" s="18"/>
      <c r="EJ125" s="18"/>
      <c r="EL125" s="18"/>
      <c r="EM125" s="18"/>
      <c r="EN125" s="22"/>
      <c r="EO125" s="22"/>
      <c r="EP125" s="18"/>
      <c r="EQ125" s="18"/>
      <c r="ER125" s="18"/>
      <c r="ES125" s="18"/>
      <c r="ET125" s="22"/>
      <c r="EU125" s="22"/>
      <c r="EV125" s="22"/>
      <c r="EW125" s="22"/>
      <c r="EX125" s="22"/>
      <c r="EY125" s="22"/>
      <c r="EZ125" s="22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7"/>
      <c r="FT125" s="18"/>
      <c r="FU125" s="18"/>
      <c r="FV125" s="18"/>
      <c r="FW125" s="18"/>
      <c r="FX125" s="18"/>
      <c r="FY125" s="18"/>
      <c r="FZ125" s="18"/>
      <c r="GA125" s="18"/>
      <c r="GB125" s="22"/>
      <c r="GC125" s="22"/>
      <c r="GD125" s="22"/>
      <c r="GE125" s="18"/>
      <c r="GF125" s="18"/>
      <c r="GG125" s="17"/>
      <c r="GH125" s="17"/>
      <c r="GI125" s="17"/>
    </row>
    <row r="126" spans="3:192" ht="18" customHeight="1" x14ac:dyDescent="0.4">
      <c r="C126" s="15"/>
      <c r="D126" s="29"/>
      <c r="E126" s="17"/>
      <c r="G126" s="18"/>
      <c r="H126" s="18"/>
      <c r="J126" s="18"/>
      <c r="M126" s="18"/>
      <c r="X126" s="20"/>
      <c r="AD126" s="18"/>
      <c r="AE126" s="18"/>
      <c r="AL126" s="18"/>
      <c r="AM126" s="18"/>
      <c r="AN126" s="18"/>
      <c r="AO126" s="18"/>
      <c r="AP126" s="18"/>
      <c r="AQ126" s="18"/>
      <c r="AR126" s="18"/>
      <c r="AT126" s="18"/>
      <c r="AY126" s="18"/>
      <c r="BA126" s="5"/>
      <c r="BB126" s="5"/>
      <c r="BI126" s="17"/>
      <c r="BK126" s="18"/>
      <c r="BL126" s="18"/>
      <c r="BM126" s="18"/>
      <c r="BR126" s="18"/>
      <c r="BU126" s="20"/>
      <c r="BV126" s="22"/>
      <c r="BW126" s="18"/>
      <c r="BX126" s="18"/>
      <c r="BY126" s="18"/>
      <c r="BZ126" s="18"/>
      <c r="CA126" s="22"/>
      <c r="CB126" s="22"/>
      <c r="CC126" s="22"/>
      <c r="CD126" s="22"/>
      <c r="CE126" s="22"/>
      <c r="CF126" s="22"/>
      <c r="CG126" s="22"/>
      <c r="CH126" s="22"/>
      <c r="CI126" s="23"/>
      <c r="CJ126" s="23"/>
      <c r="CK126" s="23"/>
      <c r="CL126" s="23"/>
      <c r="CM126" s="23"/>
      <c r="CN126" s="23"/>
      <c r="CO126" s="18"/>
      <c r="CP126" s="18"/>
      <c r="CQ126" s="18"/>
      <c r="CR126" s="18"/>
      <c r="CS126" s="18"/>
      <c r="CT126" s="18"/>
      <c r="CV126" s="18"/>
      <c r="DH126" s="18"/>
      <c r="DI126" s="18"/>
      <c r="DJ126" s="18"/>
      <c r="DN126" s="18"/>
      <c r="DO126" s="18"/>
      <c r="DQ126" s="18"/>
      <c r="DR126" s="18"/>
      <c r="DY126" s="18"/>
      <c r="DZ126" s="18"/>
      <c r="EA126" s="18"/>
      <c r="EB126" s="18"/>
      <c r="EC126" s="18"/>
      <c r="ED126" s="17"/>
      <c r="EE126" s="18"/>
      <c r="EF126" s="18"/>
      <c r="EG126" s="18"/>
      <c r="EH126" s="18"/>
      <c r="EI126" s="18"/>
      <c r="EJ126" s="18"/>
      <c r="EL126" s="18"/>
      <c r="EM126" s="18"/>
      <c r="EN126" s="22"/>
      <c r="EO126" s="22"/>
      <c r="EP126" s="18"/>
      <c r="EQ126" s="18"/>
      <c r="ER126" s="18"/>
      <c r="ES126" s="18"/>
      <c r="ET126" s="22"/>
      <c r="EU126" s="22"/>
      <c r="EV126" s="22"/>
      <c r="EW126" s="22"/>
      <c r="EX126" s="22"/>
      <c r="EY126" s="22"/>
      <c r="EZ126" s="22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7"/>
      <c r="FT126" s="18"/>
      <c r="FU126" s="18"/>
      <c r="FV126" s="18"/>
      <c r="FW126" s="18"/>
      <c r="FX126" s="18"/>
      <c r="FY126" s="18"/>
      <c r="FZ126" s="18"/>
      <c r="GA126" s="18"/>
      <c r="GB126" s="22"/>
      <c r="GC126" s="22"/>
      <c r="GD126" s="22"/>
      <c r="GE126" s="18"/>
      <c r="GF126" s="18"/>
      <c r="GG126" s="17"/>
      <c r="GH126" s="17"/>
      <c r="GI126" s="17"/>
    </row>
    <row r="127" spans="3:192" ht="18" customHeight="1" x14ac:dyDescent="0.4">
      <c r="C127" s="15"/>
      <c r="D127" s="29"/>
      <c r="E127" s="17"/>
      <c r="G127" s="18"/>
      <c r="H127" s="18"/>
      <c r="J127" s="18"/>
      <c r="M127" s="18"/>
      <c r="X127" s="20"/>
      <c r="AD127" s="18"/>
      <c r="AE127" s="18"/>
      <c r="AL127" s="18"/>
      <c r="AM127" s="18"/>
      <c r="AN127" s="18"/>
      <c r="AO127" s="18"/>
      <c r="AP127" s="18"/>
      <c r="AQ127" s="18"/>
      <c r="AR127" s="18"/>
      <c r="AT127" s="18"/>
      <c r="AY127" s="18"/>
      <c r="BA127" s="5"/>
      <c r="BB127" s="5"/>
      <c r="BI127" s="17"/>
      <c r="BK127" s="18"/>
      <c r="BL127" s="18"/>
      <c r="BM127" s="18"/>
      <c r="BR127" s="18"/>
      <c r="BU127" s="20"/>
      <c r="BV127" s="22"/>
      <c r="BW127" s="18"/>
      <c r="BX127" s="18"/>
      <c r="BY127" s="18"/>
      <c r="BZ127" s="18"/>
      <c r="CA127" s="22"/>
      <c r="CB127" s="22"/>
      <c r="CC127" s="22"/>
      <c r="CD127" s="22"/>
      <c r="CE127" s="22"/>
      <c r="CF127" s="22"/>
      <c r="CG127" s="22"/>
      <c r="CH127" s="22"/>
      <c r="CI127" s="23"/>
      <c r="CJ127" s="23"/>
      <c r="CK127" s="23"/>
      <c r="CL127" s="23"/>
      <c r="CM127" s="23"/>
      <c r="CN127" s="23"/>
      <c r="CO127" s="18"/>
      <c r="CP127" s="18"/>
      <c r="CQ127" s="18"/>
      <c r="CR127" s="18"/>
      <c r="CS127" s="18"/>
      <c r="CT127" s="18"/>
      <c r="CV127" s="18"/>
      <c r="DH127" s="18"/>
      <c r="DI127" s="18"/>
      <c r="DJ127" s="18"/>
      <c r="DN127" s="18"/>
      <c r="DO127" s="18"/>
      <c r="DQ127" s="18"/>
      <c r="DR127" s="18"/>
      <c r="DY127" s="18"/>
      <c r="DZ127" s="18"/>
      <c r="EA127" s="18"/>
      <c r="EB127" s="18"/>
      <c r="EC127" s="18"/>
      <c r="ED127" s="17"/>
      <c r="EE127" s="18"/>
      <c r="EF127" s="18"/>
      <c r="EG127" s="18"/>
      <c r="EH127" s="18"/>
      <c r="EI127" s="18"/>
      <c r="EJ127" s="18"/>
      <c r="EL127" s="18"/>
      <c r="EM127" s="18"/>
      <c r="EN127" s="22"/>
      <c r="EO127" s="22"/>
      <c r="EP127" s="18"/>
      <c r="EQ127" s="18"/>
      <c r="ER127" s="18"/>
      <c r="ES127" s="18"/>
      <c r="ET127" s="22"/>
      <c r="EU127" s="22"/>
      <c r="EV127" s="22"/>
      <c r="EW127" s="22"/>
      <c r="EX127" s="22"/>
      <c r="EY127" s="22"/>
      <c r="EZ127" s="22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22"/>
      <c r="GC127" s="22"/>
      <c r="GD127" s="22"/>
      <c r="GE127" s="22"/>
      <c r="GF127" s="18"/>
      <c r="GG127" s="17"/>
      <c r="GH127" s="17"/>
      <c r="GI127" s="17"/>
      <c r="GJ127" s="18"/>
    </row>
    <row r="128" spans="3:192" ht="18" customHeight="1" x14ac:dyDescent="0.4">
      <c r="C128" s="15"/>
      <c r="D128" s="29"/>
      <c r="E128" s="17"/>
      <c r="G128" s="18"/>
      <c r="H128" s="18"/>
      <c r="J128" s="18"/>
      <c r="M128" s="18"/>
      <c r="X128" s="20"/>
      <c r="AD128" s="18"/>
      <c r="AE128" s="18"/>
      <c r="AL128" s="18"/>
      <c r="AM128" s="18"/>
      <c r="AN128" s="18"/>
      <c r="AO128" s="18"/>
      <c r="AP128" s="18"/>
      <c r="AQ128" s="18"/>
      <c r="AR128" s="18"/>
      <c r="AT128" s="18"/>
      <c r="AY128" s="18"/>
      <c r="BA128" s="5"/>
      <c r="BB128" s="5"/>
      <c r="BI128" s="17"/>
      <c r="BK128" s="18"/>
      <c r="BL128" s="18"/>
      <c r="BM128" s="18"/>
      <c r="BR128" s="18"/>
      <c r="BU128" s="20"/>
      <c r="BV128" s="22"/>
      <c r="BW128" s="18"/>
      <c r="BX128" s="18"/>
      <c r="BY128" s="18"/>
      <c r="BZ128" s="18"/>
      <c r="CA128" s="22"/>
      <c r="CB128" s="22"/>
      <c r="CC128" s="22"/>
      <c r="CD128" s="22"/>
      <c r="CE128" s="22"/>
      <c r="CF128" s="22"/>
      <c r="CG128" s="22"/>
      <c r="CH128" s="22"/>
      <c r="CI128" s="23"/>
      <c r="CJ128" s="23"/>
      <c r="CK128" s="23"/>
      <c r="CL128" s="23"/>
      <c r="CM128" s="23"/>
      <c r="CN128" s="23"/>
      <c r="CO128" s="18"/>
      <c r="CP128" s="18"/>
      <c r="CQ128" s="18"/>
      <c r="CR128" s="18"/>
      <c r="CS128" s="18"/>
      <c r="CT128" s="18"/>
      <c r="CV128" s="18"/>
      <c r="DH128" s="18"/>
      <c r="DI128" s="18"/>
      <c r="DJ128" s="18"/>
      <c r="DN128" s="18"/>
      <c r="DO128" s="18"/>
      <c r="DQ128" s="18"/>
      <c r="DR128" s="18"/>
      <c r="DY128" s="18"/>
      <c r="DZ128" s="18"/>
      <c r="EA128" s="18"/>
      <c r="EB128" s="18"/>
      <c r="EC128" s="18"/>
      <c r="ED128" s="17"/>
      <c r="EE128" s="18"/>
      <c r="EF128" s="18"/>
      <c r="EG128" s="18"/>
      <c r="EH128" s="18"/>
      <c r="EI128" s="18"/>
      <c r="EJ128" s="18"/>
      <c r="EL128" s="18"/>
      <c r="EM128" s="18"/>
      <c r="EN128" s="22"/>
      <c r="EO128" s="22"/>
      <c r="EP128" s="18"/>
      <c r="EQ128" s="18"/>
      <c r="ER128" s="18"/>
      <c r="ES128" s="18"/>
      <c r="ET128" s="22"/>
      <c r="EU128" s="22"/>
      <c r="EV128" s="22"/>
      <c r="EW128" s="22"/>
      <c r="EX128" s="22"/>
      <c r="EY128" s="22"/>
      <c r="EZ128" s="22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7"/>
      <c r="FT128" s="18"/>
      <c r="FU128" s="18"/>
      <c r="FV128" s="18"/>
      <c r="FW128" s="18"/>
      <c r="FX128" s="18"/>
      <c r="FY128" s="18"/>
      <c r="FZ128" s="18"/>
      <c r="GA128" s="18"/>
      <c r="GB128" s="22"/>
      <c r="GC128" s="22"/>
      <c r="GD128" s="22"/>
      <c r="GE128" s="18"/>
      <c r="GF128" s="18"/>
      <c r="GG128" s="17"/>
      <c r="GH128" s="17"/>
      <c r="GI128" s="17"/>
    </row>
    <row r="129" spans="3:191" ht="18" customHeight="1" x14ac:dyDescent="0.4">
      <c r="C129" s="15"/>
      <c r="D129" s="29"/>
      <c r="E129" s="17"/>
      <c r="G129" s="18"/>
      <c r="H129" s="18"/>
      <c r="J129" s="18"/>
      <c r="M129" s="18"/>
      <c r="X129" s="20"/>
      <c r="AD129" s="18"/>
      <c r="AE129" s="18"/>
      <c r="AL129" s="18"/>
      <c r="AM129" s="18"/>
      <c r="AN129" s="18"/>
      <c r="AO129" s="18"/>
      <c r="AP129" s="18"/>
      <c r="AQ129" s="18"/>
      <c r="AR129" s="18"/>
      <c r="AT129" s="18"/>
      <c r="AY129" s="18"/>
      <c r="BA129" s="5"/>
      <c r="BB129" s="5"/>
      <c r="BI129" s="17"/>
      <c r="BK129" s="18"/>
      <c r="BL129" s="18"/>
      <c r="BM129" s="18"/>
      <c r="BR129" s="18"/>
      <c r="BU129" s="20"/>
      <c r="BV129" s="22"/>
      <c r="BW129" s="18"/>
      <c r="BX129" s="18"/>
      <c r="BY129" s="18"/>
      <c r="BZ129" s="18"/>
      <c r="CA129" s="22"/>
      <c r="CB129" s="22"/>
      <c r="CC129" s="22"/>
      <c r="CD129" s="22"/>
      <c r="CE129" s="22"/>
      <c r="CF129" s="22"/>
      <c r="CG129" s="22"/>
      <c r="CH129" s="22"/>
      <c r="CI129" s="23"/>
      <c r="CJ129" s="23"/>
      <c r="CK129" s="23"/>
      <c r="CL129" s="23"/>
      <c r="CM129" s="23"/>
      <c r="CN129" s="23"/>
      <c r="CO129" s="18"/>
      <c r="CP129" s="18"/>
      <c r="CQ129" s="18"/>
      <c r="CR129" s="18"/>
      <c r="CS129" s="18"/>
      <c r="CT129" s="18"/>
      <c r="CV129" s="18"/>
      <c r="DH129" s="18"/>
      <c r="DI129" s="18"/>
      <c r="DJ129" s="18"/>
      <c r="DN129" s="18"/>
      <c r="DO129" s="18"/>
      <c r="DQ129" s="18"/>
      <c r="DR129" s="18"/>
      <c r="DY129" s="18"/>
      <c r="DZ129" s="18"/>
      <c r="EA129" s="18"/>
      <c r="EB129" s="18"/>
      <c r="EC129" s="18"/>
      <c r="ED129" s="17"/>
      <c r="EE129" s="18"/>
      <c r="EF129" s="18"/>
      <c r="EG129" s="18"/>
      <c r="EH129" s="18"/>
      <c r="EI129" s="18"/>
      <c r="EJ129" s="18"/>
      <c r="EL129" s="18"/>
      <c r="EM129" s="18"/>
      <c r="EN129" s="22"/>
      <c r="EO129" s="22"/>
      <c r="EP129" s="18"/>
      <c r="EQ129" s="18"/>
      <c r="ER129" s="18"/>
      <c r="ES129" s="18"/>
      <c r="ET129" s="22"/>
      <c r="EU129" s="22"/>
      <c r="EV129" s="22"/>
      <c r="EW129" s="22"/>
      <c r="EX129" s="22"/>
      <c r="EY129" s="22"/>
      <c r="EZ129" s="22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7"/>
      <c r="FT129" s="18"/>
      <c r="FU129" s="18"/>
      <c r="FV129" s="18"/>
      <c r="FW129" s="18"/>
      <c r="FX129" s="18"/>
      <c r="FY129" s="18"/>
      <c r="FZ129" s="18"/>
      <c r="GA129" s="18"/>
      <c r="GB129" s="22"/>
      <c r="GC129" s="22"/>
      <c r="GD129" s="22"/>
      <c r="GE129" s="18"/>
      <c r="GF129" s="18"/>
      <c r="GG129" s="17"/>
      <c r="GH129" s="17"/>
      <c r="GI129" s="17"/>
    </row>
    <row r="131" spans="3:191" x14ac:dyDescent="0.4">
      <c r="G131" s="18"/>
      <c r="H131" s="18"/>
      <c r="J131" s="18"/>
      <c r="M131" s="18"/>
      <c r="V131" s="18"/>
      <c r="X131" s="17"/>
      <c r="Z131" s="18"/>
      <c r="AD131" s="18"/>
      <c r="AE131" s="18"/>
      <c r="AL131" s="18"/>
      <c r="AM131" s="18"/>
      <c r="AN131" s="18"/>
      <c r="AO131" s="18"/>
      <c r="AP131" s="18"/>
      <c r="AQ131" s="18"/>
      <c r="BI131" s="18"/>
      <c r="BU131" s="17"/>
      <c r="CF131" s="18"/>
      <c r="CG131" s="18"/>
      <c r="CH131" s="33"/>
      <c r="ED131" s="18"/>
      <c r="EN131" s="18"/>
      <c r="EY131" s="33"/>
      <c r="EZ131" s="33"/>
      <c r="FS131" s="18"/>
      <c r="GB131" s="33"/>
    </row>
    <row r="132" spans="3:191" x14ac:dyDescent="0.4">
      <c r="V132" s="24"/>
      <c r="X132" s="17"/>
      <c r="Z132" s="24"/>
      <c r="BU132" s="17"/>
      <c r="CF132" s="18"/>
      <c r="CG132" s="18"/>
      <c r="CH132" s="33"/>
      <c r="EN132" s="18"/>
      <c r="EY132" s="33"/>
      <c r="EZ132" s="33"/>
      <c r="GB132" s="33"/>
    </row>
    <row r="133" spans="3:191" x14ac:dyDescent="0.4">
      <c r="X133" s="17"/>
      <c r="BI133" s="17"/>
      <c r="BU133" s="17"/>
    </row>
    <row r="134" spans="3:191" x14ac:dyDescent="0.4">
      <c r="X134" s="17"/>
      <c r="BU134" s="17"/>
      <c r="CF134" s="18"/>
      <c r="CG134" s="18"/>
      <c r="CH134" s="18"/>
      <c r="ED134" s="17"/>
      <c r="EN134" s="18"/>
      <c r="EY134" s="18"/>
      <c r="EZ134" s="18"/>
      <c r="GB134" s="18"/>
    </row>
    <row r="135" spans="3:191" x14ac:dyDescent="0.4">
      <c r="CF135" s="18"/>
      <c r="CG135" s="18"/>
      <c r="CH135" s="18"/>
      <c r="EY135" s="18"/>
      <c r="EZ135" s="18"/>
      <c r="GB135" s="18"/>
    </row>
    <row r="137" spans="3:191" x14ac:dyDescent="0.4">
      <c r="X137" s="17"/>
      <c r="BU137" s="17"/>
      <c r="CF137" s="18"/>
      <c r="CG137" s="18"/>
      <c r="CH137" s="18"/>
      <c r="EN137" s="17"/>
      <c r="EY137" s="18"/>
      <c r="EZ137" s="18"/>
      <c r="GB137" s="18"/>
    </row>
    <row r="138" spans="3:191" x14ac:dyDescent="0.4">
      <c r="CF138" s="18"/>
      <c r="CG138" s="18"/>
      <c r="CH138" s="18"/>
      <c r="EY138" s="18"/>
      <c r="EZ138" s="18"/>
      <c r="GB138" s="18"/>
    </row>
  </sheetData>
  <autoFilter ref="A1:GK1" xr:uid="{DD92234B-553B-4F37-B9B5-4CEB9F532AC7}">
    <sortState xmlns:xlrd2="http://schemas.microsoft.com/office/spreadsheetml/2017/richdata2" ref="A2:GK94">
      <sortCondition ref="A1"/>
    </sortState>
  </autoFilter>
  <sortState xmlns:xlrd2="http://schemas.microsoft.com/office/spreadsheetml/2017/richdata2" ref="A3:GK95">
    <sortCondition ref="I3:I9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45ba94-c10f-4a0e-8999-7d7ab4ffa4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0425F88BD3164997C07EA80E6C0839" ma:contentTypeVersion="13" ma:contentTypeDescription="Create a new document." ma:contentTypeScope="" ma:versionID="352c0f7b4dc276773f4f68d62bfeaa0d">
  <xsd:schema xmlns:xsd="http://www.w3.org/2001/XMLSchema" xmlns:xs="http://www.w3.org/2001/XMLSchema" xmlns:p="http://schemas.microsoft.com/office/2006/metadata/properties" xmlns:ns3="f045f9e4-2485-4c21-8baf-48907f107fc3" xmlns:ns4="9745ba94-c10f-4a0e-8999-7d7ab4ffa4a6" targetNamespace="http://schemas.microsoft.com/office/2006/metadata/properties" ma:root="true" ma:fieldsID="6659a0f2221ceb94ca1097ddda054720" ns3:_="" ns4:_="">
    <xsd:import namespace="f045f9e4-2485-4c21-8baf-48907f107fc3"/>
    <xsd:import namespace="9745ba94-c10f-4a0e-8999-7d7ab4ffa4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5f9e4-2485-4c21-8baf-48907f107f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5ba94-c10f-4a0e-8999-7d7ab4ffa4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6A111B-70ED-49B2-824E-3CE1E26574F6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9745ba94-c10f-4a0e-8999-7d7ab4ffa4a6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045f9e4-2485-4c21-8baf-48907f107fc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42F432-A529-49C8-BF3E-A6D22B9B98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45f9e4-2485-4c21-8baf-48907f107fc3"/>
    <ds:schemaRef ds:uri="9745ba94-c10f-4a0e-8999-7d7ab4ffa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E3026B-2A19-45A9-999F-08811044C2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SPSS2 &gt;=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HỮU HÙNG - Y21</dc:creator>
  <cp:lastModifiedBy>Phan Thai Son (K. HSTC)</cp:lastModifiedBy>
  <dcterms:created xsi:type="dcterms:W3CDTF">2024-01-21T08:28:48Z</dcterms:created>
  <dcterms:modified xsi:type="dcterms:W3CDTF">2026-07-19T14:11:08Z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0x010100C80425F88BD3164997C07EA80E6C0839</vt:lpwstr>
  </property>
</Properties>
</file>